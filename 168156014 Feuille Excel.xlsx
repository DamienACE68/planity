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90006919.sharepoint.com/sites/INFOLOG-FICHIER/Documents/ACE_Compta/Siege Damien/Dossiers/100000 - 199999/156014 - SAS Marie MACRI Hairstyle/2026/"/>
    </mc:Choice>
  </mc:AlternateContent>
  <xr:revisionPtr revIDLastSave="4" documentId="8_{D347BB94-CAAB-4A52-A959-6038DBDD4993}" xr6:coauthVersionLast="47" xr6:coauthVersionMax="47" xr10:uidLastSave="{D2F70268-F8BE-475B-A62F-CD546E3A47CD}"/>
  <workbookProtection lockStructure="1"/>
  <bookViews>
    <workbookView xWindow="-120" yWindow="-120" windowWidth="29040" windowHeight="15720" xr2:uid="{7CBC4187-812E-43D8-A750-C07D93B48363}"/>
  </bookViews>
  <sheets>
    <sheet name="Janvier 2026" sheetId="13" r:id="rId1"/>
    <sheet name="Février 2026" sheetId="12" r:id="rId2"/>
    <sheet name="Mars 2026" sheetId="11" r:id="rId3"/>
    <sheet name="Avril 2026" sheetId="10" r:id="rId4"/>
    <sheet name="Mai 2026" sheetId="9" r:id="rId5"/>
    <sheet name="Juin 2026" sheetId="8" r:id="rId6"/>
    <sheet name="Juillet 2026" sheetId="7" r:id="rId7"/>
    <sheet name="Août 2026" sheetId="6" r:id="rId8"/>
    <sheet name="Septembre 2026" sheetId="5" r:id="rId9"/>
    <sheet name="Octobre 2026" sheetId="4" r:id="rId10"/>
    <sheet name="Novembre 2026" sheetId="3" r:id="rId11"/>
    <sheet name="Décembre 2026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3" l="1"/>
  <c r="I43" i="13"/>
  <c r="H43" i="13"/>
  <c r="G43" i="13"/>
  <c r="F43" i="13"/>
  <c r="D43" i="13"/>
  <c r="C43" i="13"/>
  <c r="B43" i="13"/>
  <c r="K42" i="13"/>
  <c r="E42" i="13"/>
  <c r="K41" i="13"/>
  <c r="E41" i="13"/>
  <c r="K40" i="13"/>
  <c r="E40" i="13"/>
  <c r="K39" i="13"/>
  <c r="E39" i="13"/>
  <c r="K38" i="13"/>
  <c r="E38" i="13"/>
  <c r="K37" i="13"/>
  <c r="E37" i="13"/>
  <c r="K36" i="13"/>
  <c r="E36" i="13"/>
  <c r="K35" i="13"/>
  <c r="E35" i="13"/>
  <c r="K34" i="13"/>
  <c r="E34" i="13"/>
  <c r="K33" i="13"/>
  <c r="E33" i="13"/>
  <c r="K32" i="13"/>
  <c r="E32" i="13"/>
  <c r="K31" i="13"/>
  <c r="E31" i="13"/>
  <c r="K30" i="13"/>
  <c r="E30" i="13"/>
  <c r="K29" i="13"/>
  <c r="E29" i="13"/>
  <c r="K28" i="13"/>
  <c r="E28" i="13"/>
  <c r="K27" i="13"/>
  <c r="E27" i="13"/>
  <c r="K26" i="13"/>
  <c r="E26" i="13"/>
  <c r="K25" i="13"/>
  <c r="E25" i="13"/>
  <c r="K24" i="13"/>
  <c r="E24" i="13"/>
  <c r="K23" i="13"/>
  <c r="E23" i="13"/>
  <c r="K22" i="13"/>
  <c r="E22" i="13"/>
  <c r="K21" i="13"/>
  <c r="E21" i="13"/>
  <c r="K20" i="13"/>
  <c r="E20" i="13"/>
  <c r="K19" i="13"/>
  <c r="E19" i="13"/>
  <c r="K18" i="13"/>
  <c r="E18" i="13"/>
  <c r="K17" i="13"/>
  <c r="E17" i="13"/>
  <c r="K16" i="13"/>
  <c r="E16" i="13"/>
  <c r="K15" i="13"/>
  <c r="E15" i="13"/>
  <c r="K14" i="13"/>
  <c r="E14" i="13"/>
  <c r="K13" i="13"/>
  <c r="E13" i="13"/>
  <c r="K12" i="13"/>
  <c r="K43" i="13" s="1"/>
  <c r="E12" i="13"/>
  <c r="E43" i="13" s="1"/>
  <c r="K40" i="12"/>
  <c r="J40" i="12"/>
  <c r="I40" i="12"/>
  <c r="H40" i="12"/>
  <c r="G40" i="12"/>
  <c r="F40" i="12"/>
  <c r="E40" i="12"/>
  <c r="D40" i="12"/>
  <c r="C40" i="12"/>
  <c r="B40" i="12"/>
  <c r="K39" i="12"/>
  <c r="E39" i="12"/>
  <c r="K38" i="12"/>
  <c r="E38" i="12"/>
  <c r="K37" i="12"/>
  <c r="E37" i="12"/>
  <c r="K36" i="12"/>
  <c r="E36" i="12"/>
  <c r="K35" i="12"/>
  <c r="E35" i="12"/>
  <c r="K34" i="12"/>
  <c r="E34" i="12"/>
  <c r="K33" i="12"/>
  <c r="E33" i="12"/>
  <c r="K32" i="12"/>
  <c r="E32" i="12"/>
  <c r="K31" i="12"/>
  <c r="E31" i="12"/>
  <c r="K30" i="12"/>
  <c r="E30" i="12"/>
  <c r="K29" i="12"/>
  <c r="E29" i="12"/>
  <c r="K28" i="12"/>
  <c r="E28" i="12"/>
  <c r="K27" i="12"/>
  <c r="E27" i="12"/>
  <c r="K26" i="12"/>
  <c r="E26" i="12"/>
  <c r="K25" i="12"/>
  <c r="E25" i="12"/>
  <c r="K24" i="12"/>
  <c r="E24" i="12"/>
  <c r="K23" i="12"/>
  <c r="E23" i="12"/>
  <c r="K22" i="12"/>
  <c r="E22" i="12"/>
  <c r="K21" i="12"/>
  <c r="E21" i="12"/>
  <c r="K20" i="12"/>
  <c r="E20" i="12"/>
  <c r="K19" i="12"/>
  <c r="E19" i="12"/>
  <c r="K18" i="12"/>
  <c r="E18" i="12"/>
  <c r="K17" i="12"/>
  <c r="E17" i="12"/>
  <c r="K16" i="12"/>
  <c r="E16" i="12"/>
  <c r="K15" i="12"/>
  <c r="E15" i="12"/>
  <c r="K14" i="12"/>
  <c r="E14" i="12"/>
  <c r="K13" i="12"/>
  <c r="E13" i="12"/>
  <c r="K12" i="12"/>
  <c r="E12" i="12"/>
  <c r="K43" i="11"/>
  <c r="J43" i="11"/>
  <c r="I43" i="11"/>
  <c r="H43" i="11"/>
  <c r="G43" i="11"/>
  <c r="F43" i="11"/>
  <c r="E43" i="11"/>
  <c r="D43" i="11"/>
  <c r="C43" i="11"/>
  <c r="B43" i="11"/>
  <c r="K42" i="11"/>
  <c r="E42" i="11"/>
  <c r="K41" i="11"/>
  <c r="E41" i="11"/>
  <c r="K40" i="11"/>
  <c r="E40" i="11"/>
  <c r="K39" i="11"/>
  <c r="E39" i="11"/>
  <c r="K38" i="11"/>
  <c r="E38" i="11"/>
  <c r="K37" i="11"/>
  <c r="E37" i="11"/>
  <c r="K36" i="11"/>
  <c r="E36" i="11"/>
  <c r="K35" i="11"/>
  <c r="E35" i="11"/>
  <c r="K34" i="11"/>
  <c r="E34" i="11"/>
  <c r="K33" i="11"/>
  <c r="E33" i="11"/>
  <c r="K32" i="11"/>
  <c r="E32" i="11"/>
  <c r="K31" i="11"/>
  <c r="E31" i="11"/>
  <c r="K30" i="11"/>
  <c r="E30" i="11"/>
  <c r="K29" i="11"/>
  <c r="E29" i="11"/>
  <c r="K28" i="11"/>
  <c r="E28" i="11"/>
  <c r="K27" i="11"/>
  <c r="E27" i="11"/>
  <c r="K26" i="11"/>
  <c r="E26" i="11"/>
  <c r="K25" i="11"/>
  <c r="E25" i="11"/>
  <c r="K24" i="11"/>
  <c r="E24" i="11"/>
  <c r="K23" i="11"/>
  <c r="E23" i="11"/>
  <c r="K22" i="11"/>
  <c r="E22" i="11"/>
  <c r="K21" i="11"/>
  <c r="E21" i="11"/>
  <c r="K20" i="11"/>
  <c r="E20" i="11"/>
  <c r="K19" i="11"/>
  <c r="E19" i="11"/>
  <c r="K18" i="11"/>
  <c r="E18" i="11"/>
  <c r="K17" i="11"/>
  <c r="E17" i="11"/>
  <c r="K16" i="11"/>
  <c r="E16" i="11"/>
  <c r="K15" i="11"/>
  <c r="E15" i="11"/>
  <c r="K14" i="11"/>
  <c r="E14" i="11"/>
  <c r="K13" i="11"/>
  <c r="E13" i="11"/>
  <c r="K12" i="11"/>
  <c r="E12" i="11"/>
  <c r="K42" i="10"/>
  <c r="J42" i="10"/>
  <c r="I42" i="10"/>
  <c r="H42" i="10"/>
  <c r="G42" i="10"/>
  <c r="F42" i="10"/>
  <c r="E42" i="10"/>
  <c r="D42" i="10"/>
  <c r="C42" i="10"/>
  <c r="B42" i="10"/>
  <c r="K41" i="10"/>
  <c r="E41" i="10"/>
  <c r="K40" i="10"/>
  <c r="E40" i="10"/>
  <c r="K39" i="10"/>
  <c r="E39" i="10"/>
  <c r="K38" i="10"/>
  <c r="E38" i="10"/>
  <c r="K37" i="10"/>
  <c r="E37" i="10"/>
  <c r="K36" i="10"/>
  <c r="E36" i="10"/>
  <c r="K35" i="10"/>
  <c r="E35" i="10"/>
  <c r="K34" i="10"/>
  <c r="E34" i="10"/>
  <c r="K33" i="10"/>
  <c r="E33" i="10"/>
  <c r="K32" i="10"/>
  <c r="E32" i="10"/>
  <c r="K31" i="10"/>
  <c r="E31" i="10"/>
  <c r="K30" i="10"/>
  <c r="E30" i="10"/>
  <c r="K29" i="10"/>
  <c r="E29" i="10"/>
  <c r="K28" i="10"/>
  <c r="E28" i="10"/>
  <c r="K27" i="10"/>
  <c r="E27" i="10"/>
  <c r="K26" i="10"/>
  <c r="E26" i="10"/>
  <c r="K25" i="10"/>
  <c r="E25" i="10"/>
  <c r="K24" i="10"/>
  <c r="E24" i="10"/>
  <c r="K23" i="10"/>
  <c r="E23" i="10"/>
  <c r="K22" i="10"/>
  <c r="E22" i="10"/>
  <c r="K21" i="10"/>
  <c r="E21" i="10"/>
  <c r="K20" i="10"/>
  <c r="E20" i="10"/>
  <c r="K19" i="10"/>
  <c r="E19" i="10"/>
  <c r="K18" i="10"/>
  <c r="E18" i="10"/>
  <c r="K17" i="10"/>
  <c r="E17" i="10"/>
  <c r="K16" i="10"/>
  <c r="E16" i="10"/>
  <c r="K15" i="10"/>
  <c r="E15" i="10"/>
  <c r="K14" i="10"/>
  <c r="E14" i="10"/>
  <c r="K13" i="10"/>
  <c r="E13" i="10"/>
  <c r="K12" i="10"/>
  <c r="E12" i="10"/>
  <c r="K43" i="9"/>
  <c r="J43" i="9"/>
  <c r="I43" i="9"/>
  <c r="H43" i="9"/>
  <c r="G43" i="9"/>
  <c r="F43" i="9"/>
  <c r="E43" i="9"/>
  <c r="D43" i="9"/>
  <c r="C43" i="9"/>
  <c r="B43" i="9"/>
  <c r="K42" i="9"/>
  <c r="E42" i="9"/>
  <c r="K41" i="9"/>
  <c r="E41" i="9"/>
  <c r="K40" i="9"/>
  <c r="E40" i="9"/>
  <c r="K39" i="9"/>
  <c r="E39" i="9"/>
  <c r="K38" i="9"/>
  <c r="E38" i="9"/>
  <c r="K37" i="9"/>
  <c r="E37" i="9"/>
  <c r="K36" i="9"/>
  <c r="E36" i="9"/>
  <c r="K35" i="9"/>
  <c r="E35" i="9"/>
  <c r="K34" i="9"/>
  <c r="E34" i="9"/>
  <c r="K33" i="9"/>
  <c r="E33" i="9"/>
  <c r="K32" i="9"/>
  <c r="E32" i="9"/>
  <c r="K31" i="9"/>
  <c r="E31" i="9"/>
  <c r="K30" i="9"/>
  <c r="E30" i="9"/>
  <c r="K29" i="9"/>
  <c r="E29" i="9"/>
  <c r="K28" i="9"/>
  <c r="E28" i="9"/>
  <c r="K27" i="9"/>
  <c r="E27" i="9"/>
  <c r="K26" i="9"/>
  <c r="E26" i="9"/>
  <c r="K25" i="9"/>
  <c r="E25" i="9"/>
  <c r="K24" i="9"/>
  <c r="E24" i="9"/>
  <c r="K23" i="9"/>
  <c r="E23" i="9"/>
  <c r="K22" i="9"/>
  <c r="E22" i="9"/>
  <c r="K21" i="9"/>
  <c r="E21" i="9"/>
  <c r="K20" i="9"/>
  <c r="E20" i="9"/>
  <c r="K19" i="9"/>
  <c r="E19" i="9"/>
  <c r="K18" i="9"/>
  <c r="E18" i="9"/>
  <c r="K17" i="9"/>
  <c r="E17" i="9"/>
  <c r="K16" i="9"/>
  <c r="E16" i="9"/>
  <c r="K15" i="9"/>
  <c r="E15" i="9"/>
  <c r="K14" i="9"/>
  <c r="E14" i="9"/>
  <c r="K13" i="9"/>
  <c r="E13" i="9"/>
  <c r="K12" i="9"/>
  <c r="E12" i="9"/>
  <c r="K42" i="8"/>
  <c r="J42" i="8"/>
  <c r="I42" i="8"/>
  <c r="H42" i="8"/>
  <c r="G42" i="8"/>
  <c r="F42" i="8"/>
  <c r="E42" i="8"/>
  <c r="D42" i="8"/>
  <c r="C42" i="8"/>
  <c r="B42" i="8"/>
  <c r="K41" i="8"/>
  <c r="E41" i="8"/>
  <c r="K40" i="8"/>
  <c r="E40" i="8"/>
  <c r="K39" i="8"/>
  <c r="E39" i="8"/>
  <c r="K38" i="8"/>
  <c r="E38" i="8"/>
  <c r="K37" i="8"/>
  <c r="E37" i="8"/>
  <c r="K36" i="8"/>
  <c r="E36" i="8"/>
  <c r="K35" i="8"/>
  <c r="E35" i="8"/>
  <c r="K34" i="8"/>
  <c r="E34" i="8"/>
  <c r="K33" i="8"/>
  <c r="E33" i="8"/>
  <c r="K32" i="8"/>
  <c r="E32" i="8"/>
  <c r="K31" i="8"/>
  <c r="E31" i="8"/>
  <c r="K30" i="8"/>
  <c r="E30" i="8"/>
  <c r="K29" i="8"/>
  <c r="E29" i="8"/>
  <c r="K28" i="8"/>
  <c r="E28" i="8"/>
  <c r="K27" i="8"/>
  <c r="E27" i="8"/>
  <c r="K26" i="8"/>
  <c r="E26" i="8"/>
  <c r="K25" i="8"/>
  <c r="E25" i="8"/>
  <c r="K24" i="8"/>
  <c r="E24" i="8"/>
  <c r="K23" i="8"/>
  <c r="E23" i="8"/>
  <c r="K22" i="8"/>
  <c r="E22" i="8"/>
  <c r="K21" i="8"/>
  <c r="E21" i="8"/>
  <c r="K20" i="8"/>
  <c r="E20" i="8"/>
  <c r="K19" i="8"/>
  <c r="E19" i="8"/>
  <c r="K18" i="8"/>
  <c r="E18" i="8"/>
  <c r="K17" i="8"/>
  <c r="E17" i="8"/>
  <c r="K16" i="8"/>
  <c r="E16" i="8"/>
  <c r="K15" i="8"/>
  <c r="E15" i="8"/>
  <c r="K14" i="8"/>
  <c r="E14" i="8"/>
  <c r="K13" i="8"/>
  <c r="E13" i="8"/>
  <c r="K12" i="8"/>
  <c r="E12" i="8"/>
  <c r="K43" i="7"/>
  <c r="J43" i="7"/>
  <c r="I43" i="7"/>
  <c r="H43" i="7"/>
  <c r="G43" i="7"/>
  <c r="F43" i="7"/>
  <c r="E43" i="7"/>
  <c r="D43" i="7"/>
  <c r="C43" i="7"/>
  <c r="B43" i="7"/>
  <c r="K42" i="7"/>
  <c r="E42" i="7"/>
  <c r="K41" i="7"/>
  <c r="E41" i="7"/>
  <c r="K40" i="7"/>
  <c r="E40" i="7"/>
  <c r="K39" i="7"/>
  <c r="E39" i="7"/>
  <c r="K38" i="7"/>
  <c r="E38" i="7"/>
  <c r="K37" i="7"/>
  <c r="E37" i="7"/>
  <c r="K36" i="7"/>
  <c r="E36" i="7"/>
  <c r="K35" i="7"/>
  <c r="E35" i="7"/>
  <c r="K34" i="7"/>
  <c r="E34" i="7"/>
  <c r="K33" i="7"/>
  <c r="E33" i="7"/>
  <c r="K32" i="7"/>
  <c r="E32" i="7"/>
  <c r="K31" i="7"/>
  <c r="E31" i="7"/>
  <c r="K30" i="7"/>
  <c r="E30" i="7"/>
  <c r="K29" i="7"/>
  <c r="E29" i="7"/>
  <c r="K28" i="7"/>
  <c r="E28" i="7"/>
  <c r="K27" i="7"/>
  <c r="E27" i="7"/>
  <c r="K26" i="7"/>
  <c r="E26" i="7"/>
  <c r="K25" i="7"/>
  <c r="E25" i="7"/>
  <c r="K24" i="7"/>
  <c r="E24" i="7"/>
  <c r="K23" i="7"/>
  <c r="E23" i="7"/>
  <c r="K22" i="7"/>
  <c r="E22" i="7"/>
  <c r="K21" i="7"/>
  <c r="E21" i="7"/>
  <c r="K20" i="7"/>
  <c r="E20" i="7"/>
  <c r="K19" i="7"/>
  <c r="E19" i="7"/>
  <c r="K18" i="7"/>
  <c r="E18" i="7"/>
  <c r="K17" i="7"/>
  <c r="E17" i="7"/>
  <c r="K16" i="7"/>
  <c r="E16" i="7"/>
  <c r="K15" i="7"/>
  <c r="E15" i="7"/>
  <c r="K14" i="7"/>
  <c r="E14" i="7"/>
  <c r="K13" i="7"/>
  <c r="E13" i="7"/>
  <c r="K12" i="7"/>
  <c r="E12" i="7"/>
  <c r="K43" i="6"/>
  <c r="J43" i="6"/>
  <c r="I43" i="6"/>
  <c r="H43" i="6"/>
  <c r="G43" i="6"/>
  <c r="F43" i="6"/>
  <c r="E43" i="6"/>
  <c r="D43" i="6"/>
  <c r="C43" i="6"/>
  <c r="B43" i="6"/>
  <c r="K42" i="6"/>
  <c r="E42" i="6"/>
  <c r="K41" i="6"/>
  <c r="E41" i="6"/>
  <c r="K40" i="6"/>
  <c r="E40" i="6"/>
  <c r="K39" i="6"/>
  <c r="E39" i="6"/>
  <c r="K38" i="6"/>
  <c r="E38" i="6"/>
  <c r="K37" i="6"/>
  <c r="E37" i="6"/>
  <c r="K36" i="6"/>
  <c r="E36" i="6"/>
  <c r="K35" i="6"/>
  <c r="E35" i="6"/>
  <c r="K34" i="6"/>
  <c r="E34" i="6"/>
  <c r="K33" i="6"/>
  <c r="E33" i="6"/>
  <c r="K32" i="6"/>
  <c r="E32" i="6"/>
  <c r="K31" i="6"/>
  <c r="E31" i="6"/>
  <c r="K30" i="6"/>
  <c r="E30" i="6"/>
  <c r="K29" i="6"/>
  <c r="E29" i="6"/>
  <c r="K28" i="6"/>
  <c r="E28" i="6"/>
  <c r="K27" i="6"/>
  <c r="E27" i="6"/>
  <c r="K26" i="6"/>
  <c r="E26" i="6"/>
  <c r="K25" i="6"/>
  <c r="E25" i="6"/>
  <c r="K24" i="6"/>
  <c r="E24" i="6"/>
  <c r="K23" i="6"/>
  <c r="E23" i="6"/>
  <c r="K22" i="6"/>
  <c r="E22" i="6"/>
  <c r="K21" i="6"/>
  <c r="E21" i="6"/>
  <c r="K20" i="6"/>
  <c r="E20" i="6"/>
  <c r="K19" i="6"/>
  <c r="E19" i="6"/>
  <c r="K18" i="6"/>
  <c r="E18" i="6"/>
  <c r="K17" i="6"/>
  <c r="E17" i="6"/>
  <c r="K16" i="6"/>
  <c r="E16" i="6"/>
  <c r="K15" i="6"/>
  <c r="E15" i="6"/>
  <c r="K14" i="6"/>
  <c r="E14" i="6"/>
  <c r="K13" i="6"/>
  <c r="E13" i="6"/>
  <c r="K12" i="6"/>
  <c r="E12" i="6"/>
  <c r="K42" i="5"/>
  <c r="J42" i="5"/>
  <c r="I42" i="5"/>
  <c r="H42" i="5"/>
  <c r="G42" i="5"/>
  <c r="F42" i="5"/>
  <c r="E42" i="5"/>
  <c r="D42" i="5"/>
  <c r="C42" i="5"/>
  <c r="B42" i="5"/>
  <c r="K41" i="5"/>
  <c r="E41" i="5"/>
  <c r="K40" i="5"/>
  <c r="E40" i="5"/>
  <c r="K39" i="5"/>
  <c r="E39" i="5"/>
  <c r="K38" i="5"/>
  <c r="E38" i="5"/>
  <c r="K37" i="5"/>
  <c r="E37" i="5"/>
  <c r="K36" i="5"/>
  <c r="E36" i="5"/>
  <c r="K35" i="5"/>
  <c r="E35" i="5"/>
  <c r="K34" i="5"/>
  <c r="E34" i="5"/>
  <c r="K33" i="5"/>
  <c r="E33" i="5"/>
  <c r="K32" i="5"/>
  <c r="E32" i="5"/>
  <c r="K31" i="5"/>
  <c r="E31" i="5"/>
  <c r="K30" i="5"/>
  <c r="E30" i="5"/>
  <c r="K29" i="5"/>
  <c r="E29" i="5"/>
  <c r="K28" i="5"/>
  <c r="E28" i="5"/>
  <c r="K27" i="5"/>
  <c r="E27" i="5"/>
  <c r="K26" i="5"/>
  <c r="E26" i="5"/>
  <c r="K25" i="5"/>
  <c r="E25" i="5"/>
  <c r="K24" i="5"/>
  <c r="E24" i="5"/>
  <c r="K23" i="5"/>
  <c r="E23" i="5"/>
  <c r="K22" i="5"/>
  <c r="E22" i="5"/>
  <c r="K21" i="5"/>
  <c r="E21" i="5"/>
  <c r="K20" i="5"/>
  <c r="E20" i="5"/>
  <c r="K19" i="5"/>
  <c r="E19" i="5"/>
  <c r="K18" i="5"/>
  <c r="E18" i="5"/>
  <c r="K17" i="5"/>
  <c r="E17" i="5"/>
  <c r="K16" i="5"/>
  <c r="E16" i="5"/>
  <c r="K15" i="5"/>
  <c r="E15" i="5"/>
  <c r="K14" i="5"/>
  <c r="E14" i="5"/>
  <c r="K13" i="5"/>
  <c r="E13" i="5"/>
  <c r="K12" i="5"/>
  <c r="E12" i="5"/>
  <c r="K43" i="4"/>
  <c r="J43" i="4"/>
  <c r="I43" i="4"/>
  <c r="H43" i="4"/>
  <c r="G43" i="4"/>
  <c r="F43" i="4"/>
  <c r="E43" i="4"/>
  <c r="D43" i="4"/>
  <c r="C43" i="4"/>
  <c r="B43" i="4"/>
  <c r="K42" i="4"/>
  <c r="E42" i="4"/>
  <c r="K41" i="4"/>
  <c r="E41" i="4"/>
  <c r="K40" i="4"/>
  <c r="E40" i="4"/>
  <c r="K39" i="4"/>
  <c r="E39" i="4"/>
  <c r="K38" i="4"/>
  <c r="E38" i="4"/>
  <c r="K37" i="4"/>
  <c r="E37" i="4"/>
  <c r="K36" i="4"/>
  <c r="E36" i="4"/>
  <c r="K35" i="4"/>
  <c r="E35" i="4"/>
  <c r="K34" i="4"/>
  <c r="E34" i="4"/>
  <c r="K33" i="4"/>
  <c r="E33" i="4"/>
  <c r="K32" i="4"/>
  <c r="E32" i="4"/>
  <c r="K31" i="4"/>
  <c r="E31" i="4"/>
  <c r="K30" i="4"/>
  <c r="E30" i="4"/>
  <c r="K29" i="4"/>
  <c r="E29" i="4"/>
  <c r="K28" i="4"/>
  <c r="E28" i="4"/>
  <c r="K27" i="4"/>
  <c r="E27" i="4"/>
  <c r="K26" i="4"/>
  <c r="E26" i="4"/>
  <c r="K25" i="4"/>
  <c r="E25" i="4"/>
  <c r="K24" i="4"/>
  <c r="E24" i="4"/>
  <c r="K23" i="4"/>
  <c r="E23" i="4"/>
  <c r="K22" i="4"/>
  <c r="E22" i="4"/>
  <c r="K21" i="4"/>
  <c r="E21" i="4"/>
  <c r="K20" i="4"/>
  <c r="E20" i="4"/>
  <c r="K19" i="4"/>
  <c r="E19" i="4"/>
  <c r="K18" i="4"/>
  <c r="E18" i="4"/>
  <c r="K17" i="4"/>
  <c r="E17" i="4"/>
  <c r="K16" i="4"/>
  <c r="E16" i="4"/>
  <c r="K15" i="4"/>
  <c r="E15" i="4"/>
  <c r="K14" i="4"/>
  <c r="E14" i="4"/>
  <c r="K13" i="4"/>
  <c r="E13" i="4"/>
  <c r="K12" i="4"/>
  <c r="E12" i="4"/>
  <c r="K42" i="3"/>
  <c r="J42" i="3"/>
  <c r="I42" i="3"/>
  <c r="H42" i="3"/>
  <c r="G42" i="3"/>
  <c r="F42" i="3"/>
  <c r="E42" i="3"/>
  <c r="D42" i="3"/>
  <c r="C42" i="3"/>
  <c r="B42" i="3"/>
  <c r="K41" i="3"/>
  <c r="E41" i="3"/>
  <c r="K40" i="3"/>
  <c r="E40" i="3"/>
  <c r="K39" i="3"/>
  <c r="E39" i="3"/>
  <c r="K38" i="3"/>
  <c r="E38" i="3"/>
  <c r="K37" i="3"/>
  <c r="E37" i="3"/>
  <c r="K36" i="3"/>
  <c r="E36" i="3"/>
  <c r="K35" i="3"/>
  <c r="E35" i="3"/>
  <c r="K34" i="3"/>
  <c r="E34" i="3"/>
  <c r="K33" i="3"/>
  <c r="E33" i="3"/>
  <c r="K32" i="3"/>
  <c r="E32" i="3"/>
  <c r="K31" i="3"/>
  <c r="E31" i="3"/>
  <c r="K30" i="3"/>
  <c r="E30" i="3"/>
  <c r="K29" i="3"/>
  <c r="E29" i="3"/>
  <c r="K28" i="3"/>
  <c r="E28" i="3"/>
  <c r="K27" i="3"/>
  <c r="E27" i="3"/>
  <c r="K26" i="3"/>
  <c r="E26" i="3"/>
  <c r="K25" i="3"/>
  <c r="E25" i="3"/>
  <c r="K24" i="3"/>
  <c r="E24" i="3"/>
  <c r="K23" i="3"/>
  <c r="E23" i="3"/>
  <c r="K22" i="3"/>
  <c r="E22" i="3"/>
  <c r="K21" i="3"/>
  <c r="E21" i="3"/>
  <c r="K20" i="3"/>
  <c r="E20" i="3"/>
  <c r="K19" i="3"/>
  <c r="E19" i="3"/>
  <c r="K18" i="3"/>
  <c r="E18" i="3"/>
  <c r="K17" i="3"/>
  <c r="E17" i="3"/>
  <c r="K16" i="3"/>
  <c r="E16" i="3"/>
  <c r="K15" i="3"/>
  <c r="E15" i="3"/>
  <c r="K14" i="3"/>
  <c r="E14" i="3"/>
  <c r="K13" i="3"/>
  <c r="E13" i="3"/>
  <c r="K12" i="3"/>
  <c r="E12" i="3"/>
  <c r="K43" i="2"/>
  <c r="J43" i="2"/>
  <c r="I43" i="2"/>
  <c r="H43" i="2"/>
  <c r="G43" i="2"/>
  <c r="F43" i="2"/>
  <c r="E43" i="2"/>
  <c r="D43" i="2"/>
  <c r="C43" i="2"/>
  <c r="B43" i="2"/>
  <c r="K42" i="2"/>
  <c r="E42" i="2"/>
  <c r="K41" i="2"/>
  <c r="E41" i="2"/>
  <c r="K40" i="2"/>
  <c r="E40" i="2"/>
  <c r="K39" i="2"/>
  <c r="E39" i="2"/>
  <c r="K38" i="2"/>
  <c r="E38" i="2"/>
  <c r="K37" i="2"/>
  <c r="E37" i="2"/>
  <c r="K36" i="2"/>
  <c r="E36" i="2"/>
  <c r="K35" i="2"/>
  <c r="E35" i="2"/>
  <c r="K34" i="2"/>
  <c r="E34" i="2"/>
  <c r="K33" i="2"/>
  <c r="E33" i="2"/>
  <c r="K32" i="2"/>
  <c r="E32" i="2"/>
  <c r="K31" i="2"/>
  <c r="E31" i="2"/>
  <c r="K30" i="2"/>
  <c r="E30" i="2"/>
  <c r="K29" i="2"/>
  <c r="E29" i="2"/>
  <c r="K28" i="2"/>
  <c r="E28" i="2"/>
  <c r="K27" i="2"/>
  <c r="E27" i="2"/>
  <c r="K26" i="2"/>
  <c r="E26" i="2"/>
  <c r="K25" i="2"/>
  <c r="E25" i="2"/>
  <c r="K24" i="2"/>
  <c r="E24" i="2"/>
  <c r="K23" i="2"/>
  <c r="E23" i="2"/>
  <c r="K22" i="2"/>
  <c r="E22" i="2"/>
  <c r="K21" i="2"/>
  <c r="E21" i="2"/>
  <c r="K20" i="2"/>
  <c r="E20" i="2"/>
  <c r="K19" i="2"/>
  <c r="E19" i="2"/>
  <c r="K18" i="2"/>
  <c r="E18" i="2"/>
  <c r="K17" i="2"/>
  <c r="E17" i="2"/>
  <c r="K16" i="2"/>
  <c r="E16" i="2"/>
  <c r="K15" i="2"/>
  <c r="E15" i="2"/>
  <c r="K14" i="2"/>
  <c r="E14" i="2"/>
  <c r="K13" i="2"/>
  <c r="E13" i="2"/>
  <c r="K12" i="2"/>
  <c r="E12" i="2"/>
  <c r="L12" i="13" l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</calcChain>
</file>

<file path=xl/sharedStrings.xml><?xml version="1.0" encoding="utf-8"?>
<sst xmlns="http://schemas.openxmlformats.org/spreadsheetml/2006/main" count="288" uniqueCount="33">
  <si>
    <t>ACE COMPTA</t>
  </si>
  <si>
    <t>15 Rue Jean Mermoz</t>
  </si>
  <si>
    <t>68127 Sainte-croix-en-plaine</t>
  </si>
  <si>
    <t>SASU MARIE MACRI HAIRSTYLE</t>
  </si>
  <si>
    <t>5 rue de Turenne</t>
  </si>
  <si>
    <t>68000 COLMAR</t>
  </si>
  <si>
    <t>168156014 SASU MARIE MACRI HAIRSTYLE</t>
  </si>
  <si>
    <t>Période:</t>
  </si>
  <si>
    <t>Décembre 2026</t>
  </si>
  <si>
    <t>Jour</t>
  </si>
  <si>
    <t>Total</t>
  </si>
  <si>
    <t>RECETTES</t>
  </si>
  <si>
    <t>Prestations TTC</t>
  </si>
  <si>
    <t>Produits TTC</t>
  </si>
  <si>
    <t>Cartes Cadeaux</t>
  </si>
  <si>
    <t>Solde Progressif</t>
  </si>
  <si>
    <t>DEPENSES</t>
  </si>
  <si>
    <t>Réglements CB</t>
  </si>
  <si>
    <t>Réglements CB en ligne</t>
  </si>
  <si>
    <t>Réglements chèques</t>
  </si>
  <si>
    <t>Réglements cartes cadeaux</t>
  </si>
  <si>
    <t>Réglements autres</t>
  </si>
  <si>
    <t>Novembre 2026</t>
  </si>
  <si>
    <t>Octobre 2026</t>
  </si>
  <si>
    <t>Septembre 2026</t>
  </si>
  <si>
    <t>Août 2026</t>
  </si>
  <si>
    <t>Juillet 2026</t>
  </si>
  <si>
    <t>Juin 2026</t>
  </si>
  <si>
    <t>Mai 2026</t>
  </si>
  <si>
    <t>Avril 2026</t>
  </si>
  <si>
    <t>Mars 2026</t>
  </si>
  <si>
    <t>Février 2026</t>
  </si>
  <si>
    <t>Janvier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</si>
</sst>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;[Red]\-#,##0.00\ _€"/>
  </numFmts>
  <fonts count="10" x14ac:knownFonts="1">
    <font>
      <sz val="11"/>
      <color theme="1"/>
      <name val="Aptos Narrow"/>
      <family val="2"/>
      <scheme val="minor"/>
    </font>
    <font>
      <b/>
      <i/>
      <sz val="14"/>
      <color rgb="FF44546A"/>
      <name val="Aptos Narrow"/>
      <family val="2"/>
      <scheme val="minor"/>
    </font>
    <font>
      <i/>
      <sz val="12"/>
      <color rgb="FF44546A"/>
      <name val="Aptos Narrow"/>
      <family val="2"/>
      <scheme val="minor"/>
    </font>
    <font>
      <b/>
      <sz val="11"/>
      <color rgb="FF4287C8"/>
      <name val="Aptos Narrow"/>
      <family val="2"/>
      <scheme val="minor"/>
    </font>
    <font>
      <b/>
      <i/>
      <sz val="14"/>
      <color rgb="FF4287C8"/>
      <name val="Aptos Narrow"/>
      <family val="2"/>
      <scheme val="minor"/>
    </font>
    <font>
      <i/>
      <sz val="12"/>
      <color rgb="FF4287C8"/>
      <name val="Aptos Narrow"/>
      <family val="2"/>
      <scheme val="minor"/>
    </font>
    <font>
      <sz val="11"/>
      <color rgb="FF63636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4BD"/>
        <bgColor indexed="64"/>
      </patternFill>
    </fill>
    <fill>
      <patternFill patternType="solid">
        <fgColor rgb="FFDBEAFD"/>
        <bgColor indexed="64"/>
      </patternFill>
    </fill>
    <fill>
      <patternFill patternType="solid">
        <fgColor rgb="FF4287C8"/>
        <bgColor indexed="64"/>
      </patternFill>
    </fill>
    <fill>
      <patternFill patternType="solid">
        <fgColor rgb="FFFD990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4287C8"/>
      </right>
      <top/>
      <bottom/>
      <diagonal/>
    </border>
    <border>
      <left/>
      <right/>
      <top/>
      <bottom style="thin">
        <color rgb="FF4287C8"/>
      </bottom>
      <diagonal/>
    </border>
    <border>
      <left/>
      <right style="thin">
        <color rgb="FF4287C8"/>
      </right>
      <top/>
      <bottom style="thin">
        <color rgb="FF4287C8"/>
      </bottom>
      <diagonal/>
    </border>
    <border>
      <left style="thin">
        <color rgb="FF4287C8"/>
      </left>
      <right style="thin">
        <color rgb="FF4287C8"/>
      </right>
      <top style="thin">
        <color rgb="FF4287C8"/>
      </top>
      <bottom style="thin">
        <color rgb="FF4287C8"/>
      </bottom>
      <diagonal/>
    </border>
    <border>
      <left style="thin">
        <color rgb="FF4287C8"/>
      </left>
      <right/>
      <top style="thin">
        <color rgb="FF4287C8"/>
      </top>
      <bottom style="thin">
        <color rgb="FF4287C8"/>
      </bottom>
      <diagonal/>
    </border>
    <border>
      <left/>
      <right/>
      <top style="thin">
        <color rgb="FF4287C8"/>
      </top>
      <bottom style="thin">
        <color rgb="FF4287C8"/>
      </bottom>
      <diagonal/>
    </border>
    <border>
      <left/>
      <right style="thin">
        <color rgb="FF4287C8"/>
      </right>
      <top style="thin">
        <color rgb="FF4287C8"/>
      </top>
      <bottom style="thin">
        <color rgb="FF4287C8"/>
      </bottom>
      <diagonal/>
    </border>
    <border>
      <left style="thin">
        <color rgb="FF4287C8"/>
      </left>
      <right style="thin">
        <color rgb="FF4287C8"/>
      </right>
      <top style="thin">
        <color rgb="FF4287C8"/>
      </top>
      <bottom/>
      <diagonal/>
    </border>
    <border>
      <left style="thin">
        <color rgb="FF4287C8"/>
      </left>
      <right style="thin">
        <color rgb="FF4287C8"/>
      </right>
      <top/>
      <bottom/>
      <diagonal/>
    </border>
    <border>
      <left style="thin">
        <color rgb="FF4287C8"/>
      </left>
      <right style="thin">
        <color rgb="FF4287C8"/>
      </right>
      <top/>
      <bottom style="thin">
        <color rgb="FF4287C8"/>
      </bottom>
      <diagonal/>
    </border>
    <border>
      <left style="thin">
        <color rgb="FF4287C8"/>
      </left>
      <right/>
      <top/>
      <bottom/>
      <diagonal/>
    </border>
    <border>
      <left style="thin">
        <color rgb="FF4287C8"/>
      </left>
      <right style="thin">
        <color rgb="FFFFFFFF"/>
      </right>
      <top style="thin">
        <color rgb="FF4287C8"/>
      </top>
      <bottom style="thin">
        <color rgb="FF4287C8"/>
      </bottom>
      <diagonal/>
    </border>
    <border>
      <left style="thin">
        <color rgb="FFFFFFFF"/>
      </left>
      <right style="thin">
        <color rgb="FFFFFFFF"/>
      </right>
      <top style="thin">
        <color rgb="FF4287C8"/>
      </top>
      <bottom style="thin">
        <color rgb="FF4287C8"/>
      </bottom>
      <diagonal/>
    </border>
    <border>
      <left style="thin">
        <color rgb="FF4287C8"/>
      </left>
      <right/>
      <top style="thin">
        <color rgb="FF4287C8"/>
      </top>
      <bottom/>
      <diagonal/>
    </border>
    <border>
      <left style="thin">
        <color rgb="FF4287C8"/>
      </left>
      <right/>
      <top/>
      <bottom style="thin">
        <color rgb="FF4287C8"/>
      </bottom>
      <diagonal/>
    </border>
    <border>
      <left/>
      <right style="thin">
        <color rgb="FF4287C8"/>
      </right>
      <top style="thin">
        <color rgb="FF4287C8"/>
      </top>
      <bottom/>
      <diagonal/>
    </border>
    <border>
      <left style="thin">
        <color rgb="FFFFFFFF"/>
      </left>
      <right style="thin">
        <color rgb="FF4287C8"/>
      </right>
      <top/>
      <bottom style="thin">
        <color rgb="FF4287C8"/>
      </bottom>
      <diagonal/>
    </border>
    <border>
      <left style="thin">
        <color rgb="FF4287C8"/>
      </left>
      <right style="thin">
        <color rgb="FFFFFFFF"/>
      </right>
      <top style="thin">
        <color rgb="FF4287C8"/>
      </top>
      <bottom/>
      <diagonal/>
    </border>
    <border>
      <left style="thin">
        <color rgb="FF4287C8"/>
      </left>
      <right style="thin">
        <color rgb="FFFFFFFF"/>
      </right>
      <top/>
      <bottom/>
      <diagonal/>
    </border>
    <border>
      <left style="thin">
        <color rgb="FF4287C8"/>
      </left>
      <right style="thin">
        <color rgb="FFFFFFFF"/>
      </right>
      <top/>
      <bottom style="thin">
        <color rgb="FF4287C8"/>
      </bottom>
      <diagonal/>
    </border>
  </borders>
  <cellStyleXfs count="2">
    <xf numFmtId="0" fontId="0" fillId="0" borderId="0"/>
    <xf numFmtId="0" fontId="9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4" fillId="3" borderId="0" xfId="0" applyFont="1" applyFill="1" applyBorder="1" applyAlignment="1">
      <alignment horizontal="left" vertical="center" indent="2"/>
    </xf>
    <xf numFmtId="0" fontId="4" fillId="3" borderId="1" xfId="0" applyFont="1" applyFill="1" applyBorder="1" applyAlignment="1">
      <alignment horizontal="left" vertical="center" indent="2"/>
    </xf>
    <xf numFmtId="0" fontId="5" fillId="3" borderId="0" xfId="0" applyFont="1" applyFill="1" applyBorder="1" applyAlignment="1">
      <alignment horizontal="left" vertical="center" indent="2"/>
    </xf>
    <xf numFmtId="0" fontId="5" fillId="3" borderId="1" xfId="0" applyFont="1" applyFill="1" applyBorder="1" applyAlignment="1">
      <alignment horizontal="left" vertical="center" indent="2"/>
    </xf>
    <xf numFmtId="0" fontId="5" fillId="3" borderId="2" xfId="0" applyFont="1" applyFill="1" applyBorder="1" applyAlignment="1">
      <alignment horizontal="left" vertical="center" indent="2"/>
    </xf>
    <xf numFmtId="0" fontId="5" fillId="3" borderId="3" xfId="0" applyFont="1" applyFill="1" applyBorder="1" applyAlignment="1">
      <alignment horizontal="left" vertical="center" indent="2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164" fontId="8" fillId="7" borderId="1" xfId="0" applyNumberFormat="1" applyFont="1" applyFill="1" applyBorder="1"/>
    <xf numFmtId="164" fontId="8" fillId="7" borderId="18" xfId="0" applyNumberFormat="1" applyFont="1" applyFill="1" applyBorder="1"/>
    <xf numFmtId="164" fontId="8" fillId="7" borderId="16" xfId="0" applyNumberFormat="1" applyFont="1" applyFill="1" applyBorder="1"/>
    <xf numFmtId="164" fontId="8" fillId="7" borderId="19" xfId="0" applyNumberFormat="1" applyFont="1" applyFill="1" applyBorder="1"/>
    <xf numFmtId="164" fontId="8" fillId="7" borderId="3" xfId="0" applyNumberFormat="1" applyFont="1" applyFill="1" applyBorder="1"/>
    <xf numFmtId="164" fontId="8" fillId="7" borderId="20" xfId="0" applyNumberFormat="1" applyFont="1" applyFill="1" applyBorder="1"/>
    <xf numFmtId="164" fontId="8" fillId="7" borderId="13" xfId="0" applyNumberFormat="1" applyFont="1" applyFill="1" applyBorder="1"/>
    <xf numFmtId="164" fontId="8" fillId="7" borderId="17" xfId="0" applyNumberFormat="1" applyFont="1" applyFill="1" applyBorder="1"/>
    <xf numFmtId="164" fontId="0" fillId="0" borderId="0" xfId="0" applyNumberFormat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6" fillId="0" borderId="8" xfId="0" applyNumberFormat="1" applyFont="1" applyBorder="1" applyProtection="1">
      <protection locked="0"/>
    </xf>
    <xf numFmtId="164" fontId="6" fillId="0" borderId="9" xfId="0" applyNumberFormat="1" applyFont="1" applyBorder="1" applyProtection="1">
      <protection locked="0"/>
    </xf>
    <xf numFmtId="164" fontId="6" fillId="0" borderId="10" xfId="0" applyNumberFormat="1" applyFont="1" applyBorder="1" applyProtection="1">
      <protection locked="0"/>
    </xf>
    <xf numFmtId="164" fontId="6" fillId="0" borderId="14" xfId="0" applyNumberFormat="1" applyFont="1" applyBorder="1" applyProtection="1">
      <protection locked="0"/>
    </xf>
    <xf numFmtId="164" fontId="6" fillId="0" borderId="11" xfId="0" applyNumberFormat="1" applyFont="1" applyBorder="1" applyProtection="1">
      <protection locked="0"/>
    </xf>
    <xf numFmtId="164" fontId="6" fillId="0" borderId="15" xfId="0" applyNumberFormat="1" applyFont="1" applyBorder="1" applyProtection="1">
      <protection locked="0"/>
    </xf>
    <xf numFmtId="164" fontId="8" fillId="8" borderId="7" xfId="0" applyNumberFormat="1" applyFont="1" applyFill="1" applyBorder="1" applyProtection="1">
      <protection locked="0"/>
    </xf>
    <xf numFmtId="164" fontId="8" fillId="8" borderId="7" xfId="0" applyNumberFormat="1" applyFont="1" applyFill="1" applyBorder="1" applyProtection="1"/>
    <xf numFmtId="0" fontId="9" fillId="0" borderId="0" xfId="1"/>
    <xf numFmtId="0" fontId="9" fillId="0" borderId="0" xfId="1"/>
    <xf numFmtId="0" fontId="9" fillId="0" borderId="0" xfId="1"/>
    <xf numFmtId="0" fontId="9" fillId="0" borderId="0" xfId="1"/>
  </cellXfs>
  <cellStyles count="2">
    <cellStyle name="Normal" xfId="0" builtinId="0"/>
    <cellStyle name="Normal 2" xfId="1" xr:uid="{31BCA294-AB0F-4F7F-9BE2-7A425928DA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144F-E312-4087-88E7-54748725A3A7}">
  <dimension ref="A1:O43"/>
  <sheetViews>
    <sheetView tabSelected="1" workbookViewId="0">
      <pane xSplit="1" ySplit="11" topLeftCell="B26" activePane="bottomRight" state="frozen"/>
      <selection pane="topRight" activeCell="B1" sqref="B1"/>
      <selection pane="bottomLeft" activeCell="A12" sqref="A12"/>
      <selection pane="bottomRight" activeCell="N36" sqref="N36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32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4"/>
    </row>
    <row r="12" spans="1:15" ht="15.75" x14ac:dyDescent="0.25">
      <c r="A12" s="15">
        <v>1</v>
      </c>
      <c r="B12" s="46">
        <v>0</v>
      </c>
      <c r="C12" s="47">
        <v>0</v>
      </c>
      <c r="D12" s="38"/>
      <c r="E12" s="26">
        <f>SUM(B12:D12)</f>
        <v>0</v>
      </c>
      <c r="F12" s="48">
        <v>0</v>
      </c>
      <c r="G12" s="38"/>
      <c r="H12" s="38"/>
      <c r="I12" s="49">
        <v>0</v>
      </c>
      <c r="J12" s="41"/>
      <c r="K12" s="27">
        <f>SUM(F12:J12)</f>
        <v>0</v>
      </c>
      <c r="L12" s="28">
        <f>SUM(L11+E12-K12)</f>
        <v>0</v>
      </c>
    </row>
    <row r="13" spans="1:15" ht="15.75" x14ac:dyDescent="0.25">
      <c r="A13" s="16">
        <v>2</v>
      </c>
      <c r="B13" s="46">
        <v>0</v>
      </c>
      <c r="C13" s="47">
        <v>0</v>
      </c>
      <c r="D13" s="39"/>
      <c r="E13" s="26">
        <f>SUM(B13:D13)</f>
        <v>0</v>
      </c>
      <c r="F13" s="48">
        <v>0</v>
      </c>
      <c r="G13" s="39"/>
      <c r="H13" s="39"/>
      <c r="I13" s="49">
        <v>0</v>
      </c>
      <c r="J13" s="42"/>
      <c r="K13" s="29">
        <f>SUM(F13:J13)</f>
        <v>0</v>
      </c>
      <c r="L13" s="26">
        <f>SUM(L12+E13-K13)</f>
        <v>0</v>
      </c>
    </row>
    <row r="14" spans="1:15" ht="15.75" x14ac:dyDescent="0.25">
      <c r="A14" s="16">
        <v>3</v>
      </c>
      <c r="B14" s="46">
        <v>0</v>
      </c>
      <c r="C14" s="47">
        <v>0</v>
      </c>
      <c r="D14" s="39"/>
      <c r="E14" s="26">
        <f>SUM(B14:D14)</f>
        <v>0</v>
      </c>
      <c r="F14" s="48">
        <v>0</v>
      </c>
      <c r="G14" s="39"/>
      <c r="H14" s="39"/>
      <c r="I14" s="49">
        <v>0</v>
      </c>
      <c r="J14" s="42"/>
      <c r="K14" s="29">
        <f>SUM(F14:J14)</f>
        <v>0</v>
      </c>
      <c r="L14" s="26">
        <f>SUM(L13+E14-K14)</f>
        <v>0</v>
      </c>
    </row>
    <row r="15" spans="1:15" ht="15.75" x14ac:dyDescent="0.25">
      <c r="A15" s="16">
        <v>4</v>
      </c>
      <c r="B15" s="46">
        <v>0</v>
      </c>
      <c r="C15" s="47">
        <v>0</v>
      </c>
      <c r="D15" s="39"/>
      <c r="E15" s="26">
        <f>SUM(B15:D15)</f>
        <v>0</v>
      </c>
      <c r="F15" s="48">
        <v>0</v>
      </c>
      <c r="G15" s="39"/>
      <c r="H15" s="39"/>
      <c r="I15" s="49">
        <v>0</v>
      </c>
      <c r="J15" s="42"/>
      <c r="K15" s="29">
        <f>SUM(F15:J15)</f>
        <v>0</v>
      </c>
      <c r="L15" s="26">
        <f>SUM(L14+E15-K15)</f>
        <v>0</v>
      </c>
    </row>
    <row r="16" spans="1:15" ht="15.75" x14ac:dyDescent="0.25">
      <c r="A16" s="16">
        <v>5</v>
      </c>
      <c r="B16" s="46">
        <v>49.5</v>
      </c>
      <c r="C16" s="47">
        <v>0</v>
      </c>
      <c r="D16" s="39"/>
      <c r="E16" s="26">
        <f>SUM(B16:D16)</f>
        <v>49.5</v>
      </c>
      <c r="F16" s="48">
        <v>49.5</v>
      </c>
      <c r="G16" s="39"/>
      <c r="H16" s="39"/>
      <c r="I16" s="49">
        <v>0</v>
      </c>
      <c r="J16" s="42"/>
      <c r="K16" s="29">
        <f>SUM(F16:J16)</f>
        <v>49.5</v>
      </c>
      <c r="L16" s="26">
        <f>SUM(L15+E16-K16)</f>
        <v>0</v>
      </c>
    </row>
    <row r="17" spans="1:12" ht="15.75" x14ac:dyDescent="0.25">
      <c r="A17" s="16">
        <v>6</v>
      </c>
      <c r="B17" s="46">
        <v>0</v>
      </c>
      <c r="C17" s="47">
        <v>0</v>
      </c>
      <c r="D17" s="39"/>
      <c r="E17" s="26">
        <f>SUM(B17:D17)</f>
        <v>0</v>
      </c>
      <c r="F17" s="48">
        <v>0</v>
      </c>
      <c r="G17" s="39"/>
      <c r="H17" s="39"/>
      <c r="I17" s="49">
        <v>0</v>
      </c>
      <c r="J17" s="42"/>
      <c r="K17" s="29">
        <f>SUM(F17:J17)</f>
        <v>0</v>
      </c>
      <c r="L17" s="26">
        <f>SUM(L16+E17-K17)</f>
        <v>0</v>
      </c>
    </row>
    <row r="18" spans="1:12" ht="15.75" x14ac:dyDescent="0.25">
      <c r="A18" s="16">
        <v>7</v>
      </c>
      <c r="B18" s="46">
        <v>0</v>
      </c>
      <c r="C18" s="47">
        <v>0</v>
      </c>
      <c r="D18" s="39"/>
      <c r="E18" s="26">
        <f>SUM(B18:D18)</f>
        <v>0</v>
      </c>
      <c r="F18" s="48">
        <v>0</v>
      </c>
      <c r="G18" s="39"/>
      <c r="H18" s="39"/>
      <c r="I18" s="49">
        <v>0</v>
      </c>
      <c r="J18" s="42"/>
      <c r="K18" s="29">
        <f>SUM(F18:J18)</f>
        <v>0</v>
      </c>
      <c r="L18" s="26">
        <f>SUM(L17+E18-K18)</f>
        <v>0</v>
      </c>
    </row>
    <row r="19" spans="1:12" ht="15.75" x14ac:dyDescent="0.25">
      <c r="A19" s="16">
        <v>8</v>
      </c>
      <c r="B19" s="46">
        <v>984.1</v>
      </c>
      <c r="C19" s="47">
        <v>49.45</v>
      </c>
      <c r="D19" s="39"/>
      <c r="E19" s="26">
        <f>SUM(B19:D19)</f>
        <v>1033.55</v>
      </c>
      <c r="F19" s="48">
        <v>984.05</v>
      </c>
      <c r="G19" s="39"/>
      <c r="H19" s="39"/>
      <c r="I19" s="49">
        <v>0</v>
      </c>
      <c r="J19" s="42"/>
      <c r="K19" s="29">
        <f>SUM(F19:J19)</f>
        <v>984.05</v>
      </c>
      <c r="L19" s="26">
        <f>SUM(L18+E19-K19)</f>
        <v>49.5</v>
      </c>
    </row>
    <row r="20" spans="1:12" ht="15.75" x14ac:dyDescent="0.25">
      <c r="A20" s="16">
        <v>9</v>
      </c>
      <c r="B20" s="46">
        <v>322.8</v>
      </c>
      <c r="C20" s="47">
        <v>5.9</v>
      </c>
      <c r="D20" s="39"/>
      <c r="E20" s="26">
        <f>SUM(B20:D20)</f>
        <v>328.7</v>
      </c>
      <c r="F20" s="48">
        <v>289.89999999999998</v>
      </c>
      <c r="G20" s="39"/>
      <c r="H20" s="39"/>
      <c r="I20" s="49">
        <v>0</v>
      </c>
      <c r="J20" s="42"/>
      <c r="K20" s="29">
        <f>SUM(F20:J20)</f>
        <v>289.89999999999998</v>
      </c>
      <c r="L20" s="26">
        <f>SUM(L19+E20-K20)</f>
        <v>88.300000000000011</v>
      </c>
    </row>
    <row r="21" spans="1:12" ht="15.75" x14ac:dyDescent="0.25">
      <c r="A21" s="16">
        <v>10</v>
      </c>
      <c r="B21" s="46">
        <v>1334.8</v>
      </c>
      <c r="C21" s="47">
        <v>25.45</v>
      </c>
      <c r="D21" s="39"/>
      <c r="E21" s="26">
        <f>SUM(B21:D21)</f>
        <v>1360.25</v>
      </c>
      <c r="F21" s="48">
        <v>1162.25</v>
      </c>
      <c r="G21" s="39"/>
      <c r="H21" s="39"/>
      <c r="I21" s="49">
        <v>65</v>
      </c>
      <c r="J21" s="42"/>
      <c r="K21" s="29">
        <f>SUM(F21:J21)</f>
        <v>1227.25</v>
      </c>
      <c r="L21" s="26">
        <f>SUM(L20+E21-K21)</f>
        <v>221.29999999999995</v>
      </c>
    </row>
    <row r="22" spans="1:12" ht="15.75" x14ac:dyDescent="0.25">
      <c r="A22" s="16">
        <v>11</v>
      </c>
      <c r="B22" s="46">
        <v>0</v>
      </c>
      <c r="C22" s="47">
        <v>0</v>
      </c>
      <c r="D22" s="39"/>
      <c r="E22" s="26">
        <f>SUM(B22:D22)</f>
        <v>0</v>
      </c>
      <c r="F22" s="48">
        <v>0</v>
      </c>
      <c r="G22" s="39"/>
      <c r="H22" s="39"/>
      <c r="I22" s="49">
        <v>0</v>
      </c>
      <c r="J22" s="42"/>
      <c r="K22" s="29">
        <f>SUM(F22:J22)</f>
        <v>0</v>
      </c>
      <c r="L22" s="26">
        <f>SUM(L21+E22-K22)</f>
        <v>221.29999999999995</v>
      </c>
    </row>
    <row r="23" spans="1:12" ht="15.75" x14ac:dyDescent="0.25">
      <c r="A23" s="16">
        <v>12</v>
      </c>
      <c r="B23" s="46">
        <v>616.9</v>
      </c>
      <c r="C23" s="47">
        <v>31.95</v>
      </c>
      <c r="D23" s="39"/>
      <c r="E23" s="26">
        <f>SUM(B23:D23)</f>
        <v>648.85</v>
      </c>
      <c r="F23" s="48">
        <v>648.85</v>
      </c>
      <c r="G23" s="39"/>
      <c r="H23" s="39"/>
      <c r="I23" s="49">
        <v>0</v>
      </c>
      <c r="J23" s="42"/>
      <c r="K23" s="29">
        <f>SUM(F23:J23)</f>
        <v>648.85</v>
      </c>
      <c r="L23" s="26">
        <f>SUM(L22+E23-K23)</f>
        <v>221.29999999999995</v>
      </c>
    </row>
    <row r="24" spans="1:12" ht="15.75" x14ac:dyDescent="0.25">
      <c r="A24" s="16">
        <v>13</v>
      </c>
      <c r="B24" s="46">
        <v>763.5</v>
      </c>
      <c r="C24" s="47">
        <v>43</v>
      </c>
      <c r="D24" s="39"/>
      <c r="E24" s="26">
        <f>SUM(B24:D24)</f>
        <v>806.5</v>
      </c>
      <c r="F24" s="48">
        <v>594.1</v>
      </c>
      <c r="G24" s="39"/>
      <c r="H24" s="39"/>
      <c r="I24" s="49">
        <v>0</v>
      </c>
      <c r="J24" s="42"/>
      <c r="K24" s="29">
        <f>SUM(F24:J24)</f>
        <v>594.1</v>
      </c>
      <c r="L24" s="26">
        <f>SUM(L23+E24-K24)</f>
        <v>433.69999999999993</v>
      </c>
    </row>
    <row r="25" spans="1:12" ht="15.75" x14ac:dyDescent="0.25">
      <c r="A25" s="16">
        <v>14</v>
      </c>
      <c r="B25" s="46">
        <v>0</v>
      </c>
      <c r="C25" s="47">
        <v>0</v>
      </c>
      <c r="D25" s="39"/>
      <c r="E25" s="26">
        <f>SUM(B25:D25)</f>
        <v>0</v>
      </c>
      <c r="F25" s="48">
        <v>0</v>
      </c>
      <c r="G25" s="39"/>
      <c r="H25" s="39"/>
      <c r="I25" s="49">
        <v>0</v>
      </c>
      <c r="J25" s="42"/>
      <c r="K25" s="29">
        <f>SUM(F25:J25)</f>
        <v>0</v>
      </c>
      <c r="L25" s="26">
        <f>SUM(L24+E25-K25)</f>
        <v>433.69999999999993</v>
      </c>
    </row>
    <row r="26" spans="1:12" ht="15.75" x14ac:dyDescent="0.25">
      <c r="A26" s="16">
        <v>15</v>
      </c>
      <c r="B26" s="46">
        <v>457.5</v>
      </c>
      <c r="C26" s="47">
        <v>70.400000000000006</v>
      </c>
      <c r="D26" s="39"/>
      <c r="E26" s="26">
        <f>SUM(B26:D26)</f>
        <v>527.9</v>
      </c>
      <c r="F26" s="48">
        <v>470.5</v>
      </c>
      <c r="G26" s="39"/>
      <c r="H26" s="39"/>
      <c r="I26" s="49">
        <v>0</v>
      </c>
      <c r="J26" s="42"/>
      <c r="K26" s="29">
        <f>SUM(F26:J26)</f>
        <v>470.5</v>
      </c>
      <c r="L26" s="26">
        <f>SUM(L25+E26-K26)</f>
        <v>491.09999999999991</v>
      </c>
    </row>
    <row r="27" spans="1:12" ht="15.75" x14ac:dyDescent="0.25">
      <c r="A27" s="16">
        <v>16</v>
      </c>
      <c r="B27" s="46">
        <v>1131.06</v>
      </c>
      <c r="C27" s="47">
        <v>0</v>
      </c>
      <c r="D27" s="39"/>
      <c r="E27" s="26">
        <f>SUM(B27:D27)</f>
        <v>1131.06</v>
      </c>
      <c r="F27" s="48">
        <v>1021.06</v>
      </c>
      <c r="G27" s="39"/>
      <c r="H27" s="39"/>
      <c r="I27" s="49">
        <v>0</v>
      </c>
      <c r="J27" s="42"/>
      <c r="K27" s="29">
        <f>SUM(F27:J27)</f>
        <v>1021.06</v>
      </c>
      <c r="L27" s="26">
        <f>SUM(L26+E27-K27)</f>
        <v>601.09999999999991</v>
      </c>
    </row>
    <row r="28" spans="1:12" ht="15.75" x14ac:dyDescent="0.25">
      <c r="A28" s="16">
        <v>17</v>
      </c>
      <c r="B28" s="46">
        <v>933.2</v>
      </c>
      <c r="C28" s="47">
        <v>0</v>
      </c>
      <c r="D28" s="39"/>
      <c r="E28" s="26">
        <f>SUM(B28:D28)</f>
        <v>933.2</v>
      </c>
      <c r="F28" s="48">
        <v>850.2</v>
      </c>
      <c r="G28" s="39"/>
      <c r="H28" s="39"/>
      <c r="I28" s="49">
        <v>0</v>
      </c>
      <c r="J28" s="42"/>
      <c r="K28" s="29">
        <f>SUM(F28:J28)</f>
        <v>850.2</v>
      </c>
      <c r="L28" s="26">
        <f>SUM(L27+E28-K28)</f>
        <v>684.09999999999991</v>
      </c>
    </row>
    <row r="29" spans="1:12" ht="15.75" x14ac:dyDescent="0.25">
      <c r="A29" s="16">
        <v>18</v>
      </c>
      <c r="B29" s="46">
        <v>0</v>
      </c>
      <c r="C29" s="47">
        <v>0</v>
      </c>
      <c r="D29" s="39"/>
      <c r="E29" s="26">
        <f>SUM(B29:D29)</f>
        <v>0</v>
      </c>
      <c r="F29" s="48">
        <v>0</v>
      </c>
      <c r="G29" s="39"/>
      <c r="H29" s="39"/>
      <c r="I29" s="49">
        <v>0</v>
      </c>
      <c r="J29" s="42"/>
      <c r="K29" s="29">
        <f>SUM(F29:J29)</f>
        <v>0</v>
      </c>
      <c r="L29" s="26">
        <f>SUM(L28+E29-K29)</f>
        <v>684.09999999999991</v>
      </c>
    </row>
    <row r="30" spans="1:12" ht="15.75" x14ac:dyDescent="0.25">
      <c r="A30" s="16">
        <v>19</v>
      </c>
      <c r="B30" s="46">
        <v>642.4</v>
      </c>
      <c r="C30" s="47">
        <v>0</v>
      </c>
      <c r="D30" s="39"/>
      <c r="E30" s="26">
        <f>SUM(B30:D30)</f>
        <v>642.4</v>
      </c>
      <c r="F30" s="48">
        <v>613.70000000000005</v>
      </c>
      <c r="G30" s="39"/>
      <c r="H30" s="39"/>
      <c r="I30" s="49">
        <v>0</v>
      </c>
      <c r="J30" s="42"/>
      <c r="K30" s="29">
        <f>SUM(F30:J30)</f>
        <v>613.70000000000005</v>
      </c>
      <c r="L30" s="26">
        <f>SUM(L29+E30-K30)</f>
        <v>712.8</v>
      </c>
    </row>
    <row r="31" spans="1:12" ht="15.75" x14ac:dyDescent="0.25">
      <c r="A31" s="16">
        <v>20</v>
      </c>
      <c r="B31" s="46">
        <v>318.7</v>
      </c>
      <c r="C31" s="47">
        <v>57.9</v>
      </c>
      <c r="D31" s="39"/>
      <c r="E31" s="26">
        <f>SUM(B31:D31)</f>
        <v>376.59999999999997</v>
      </c>
      <c r="F31" s="48">
        <v>233.8</v>
      </c>
      <c r="G31" s="39"/>
      <c r="H31" s="39"/>
      <c r="I31" s="49">
        <v>0</v>
      </c>
      <c r="J31" s="42"/>
      <c r="K31" s="29">
        <f>SUM(F31:J31)</f>
        <v>233.8</v>
      </c>
      <c r="L31" s="26">
        <f>SUM(L30+E31-K31)</f>
        <v>855.59999999999991</v>
      </c>
    </row>
    <row r="32" spans="1:12" ht="15.75" x14ac:dyDescent="0.25">
      <c r="A32" s="16">
        <v>21</v>
      </c>
      <c r="B32" s="46">
        <v>0</v>
      </c>
      <c r="C32" s="47">
        <v>0</v>
      </c>
      <c r="D32" s="39"/>
      <c r="E32" s="26">
        <f>SUM(B32:D32)</f>
        <v>0</v>
      </c>
      <c r="F32" s="48">
        <v>0</v>
      </c>
      <c r="G32" s="39"/>
      <c r="H32" s="39"/>
      <c r="I32" s="49">
        <v>0</v>
      </c>
      <c r="J32" s="42"/>
      <c r="K32" s="29">
        <f>SUM(F32:J32)</f>
        <v>0</v>
      </c>
      <c r="L32" s="26">
        <f>SUM(L31+E32-K32)</f>
        <v>855.59999999999991</v>
      </c>
    </row>
    <row r="33" spans="1:12" ht="15.75" x14ac:dyDescent="0.25">
      <c r="A33" s="16">
        <v>22</v>
      </c>
      <c r="B33" s="46">
        <v>1001.3</v>
      </c>
      <c r="C33" s="47">
        <v>48.9</v>
      </c>
      <c r="D33" s="39"/>
      <c r="E33" s="26">
        <f>SUM(B33:D33)</f>
        <v>1050.2</v>
      </c>
      <c r="F33" s="48">
        <v>1021.5</v>
      </c>
      <c r="G33" s="39"/>
      <c r="H33" s="39"/>
      <c r="I33" s="49">
        <v>0</v>
      </c>
      <c r="J33" s="42"/>
      <c r="K33" s="29">
        <f>SUM(F33:J33)</f>
        <v>1021.5</v>
      </c>
      <c r="L33" s="26">
        <f>SUM(L32+E33-K33)</f>
        <v>884.3</v>
      </c>
    </row>
    <row r="34" spans="1:12" ht="15.75" x14ac:dyDescent="0.25">
      <c r="A34" s="16">
        <v>23</v>
      </c>
      <c r="B34" s="46">
        <v>718.8</v>
      </c>
      <c r="C34" s="47">
        <v>21.5</v>
      </c>
      <c r="D34" s="39"/>
      <c r="E34" s="26">
        <f>SUM(B34:D34)</f>
        <v>740.3</v>
      </c>
      <c r="F34" s="48">
        <v>711.6</v>
      </c>
      <c r="G34" s="39"/>
      <c r="H34" s="39"/>
      <c r="I34" s="49">
        <v>0</v>
      </c>
      <c r="J34" s="42"/>
      <c r="K34" s="29">
        <f>SUM(F34:J34)</f>
        <v>711.6</v>
      </c>
      <c r="L34" s="26">
        <f>SUM(L33+E34-K34)</f>
        <v>912.99999999999989</v>
      </c>
    </row>
    <row r="35" spans="1:12" ht="15.75" x14ac:dyDescent="0.25">
      <c r="A35" s="16">
        <v>24</v>
      </c>
      <c r="B35" s="46">
        <v>847.4</v>
      </c>
      <c r="C35" s="47">
        <v>46.45</v>
      </c>
      <c r="D35" s="39"/>
      <c r="E35" s="26">
        <f>SUM(B35:D35)</f>
        <v>893.85</v>
      </c>
      <c r="F35" s="48">
        <v>683.55</v>
      </c>
      <c r="G35" s="39"/>
      <c r="H35" s="39"/>
      <c r="I35" s="49">
        <v>0</v>
      </c>
      <c r="J35" s="42"/>
      <c r="K35" s="29">
        <f>SUM(F35:J35)</f>
        <v>683.55</v>
      </c>
      <c r="L35" s="26">
        <f>SUM(L34+E35-K35)</f>
        <v>1123.3</v>
      </c>
    </row>
    <row r="36" spans="1:12" ht="15.75" x14ac:dyDescent="0.25">
      <c r="A36" s="16">
        <v>25</v>
      </c>
      <c r="B36" s="46">
        <v>0</v>
      </c>
      <c r="C36" s="47">
        <v>0</v>
      </c>
      <c r="D36" s="39"/>
      <c r="E36" s="26">
        <f>SUM(B36:D36)</f>
        <v>0</v>
      </c>
      <c r="F36" s="48">
        <v>0</v>
      </c>
      <c r="G36" s="39"/>
      <c r="H36" s="39"/>
      <c r="I36" s="49">
        <v>0</v>
      </c>
      <c r="J36" s="42"/>
      <c r="K36" s="29">
        <f>SUM(F36:J36)</f>
        <v>0</v>
      </c>
      <c r="L36" s="26">
        <f>SUM(L35+E36-K36)</f>
        <v>1123.3</v>
      </c>
    </row>
    <row r="37" spans="1:12" ht="15.75" x14ac:dyDescent="0.25">
      <c r="A37" s="16">
        <v>26</v>
      </c>
      <c r="B37" s="46">
        <v>630.70000000000005</v>
      </c>
      <c r="C37" s="47">
        <v>0</v>
      </c>
      <c r="D37" s="39"/>
      <c r="E37" s="26">
        <f>SUM(B37:D37)</f>
        <v>630.70000000000005</v>
      </c>
      <c r="F37" s="48">
        <v>318.5</v>
      </c>
      <c r="G37" s="39"/>
      <c r="H37" s="39"/>
      <c r="I37" s="49">
        <v>0</v>
      </c>
      <c r="J37" s="42"/>
      <c r="K37" s="29">
        <f>SUM(F37:J37)</f>
        <v>318.5</v>
      </c>
      <c r="L37" s="26">
        <f>SUM(L36+E37-K37)</f>
        <v>1435.5</v>
      </c>
    </row>
    <row r="38" spans="1:12" ht="15.75" x14ac:dyDescent="0.25">
      <c r="A38" s="16">
        <v>27</v>
      </c>
      <c r="B38" s="46">
        <v>873.1</v>
      </c>
      <c r="C38" s="47">
        <v>203.9</v>
      </c>
      <c r="D38" s="39"/>
      <c r="E38" s="26">
        <f>SUM(B38:D38)</f>
        <v>1077</v>
      </c>
      <c r="F38" s="48">
        <v>1024.0999999999999</v>
      </c>
      <c r="G38" s="39"/>
      <c r="H38" s="39"/>
      <c r="I38" s="49">
        <v>0</v>
      </c>
      <c r="J38" s="42"/>
      <c r="K38" s="29">
        <f>SUM(F38:J38)</f>
        <v>1024.0999999999999</v>
      </c>
      <c r="L38" s="26">
        <f>SUM(L37+E38-K38)</f>
        <v>1488.4</v>
      </c>
    </row>
    <row r="39" spans="1:12" ht="15.75" x14ac:dyDescent="0.25">
      <c r="A39" s="16">
        <v>28</v>
      </c>
      <c r="B39" s="46">
        <v>0</v>
      </c>
      <c r="C39" s="47">
        <v>0</v>
      </c>
      <c r="D39" s="39"/>
      <c r="E39" s="26">
        <f>SUM(B39:D39)</f>
        <v>0</v>
      </c>
      <c r="F39" s="48">
        <v>0</v>
      </c>
      <c r="G39" s="39"/>
      <c r="H39" s="39"/>
      <c r="I39" s="49">
        <v>0</v>
      </c>
      <c r="J39" s="42"/>
      <c r="K39" s="29">
        <f>SUM(F39:J39)</f>
        <v>0</v>
      </c>
      <c r="L39" s="26">
        <f>SUM(L38+E39-K39)</f>
        <v>1488.4</v>
      </c>
    </row>
    <row r="40" spans="1:12" ht="15.75" x14ac:dyDescent="0.25">
      <c r="A40" s="16">
        <v>29</v>
      </c>
      <c r="B40" s="46">
        <v>868.1</v>
      </c>
      <c r="C40" s="47">
        <v>159.30000000000001</v>
      </c>
      <c r="D40" s="39"/>
      <c r="E40" s="26">
        <f>SUM(B40:D40)</f>
        <v>1027.4000000000001</v>
      </c>
      <c r="F40" s="48">
        <v>791.05</v>
      </c>
      <c r="G40" s="39"/>
      <c r="H40" s="39"/>
      <c r="I40" s="49">
        <v>0</v>
      </c>
      <c r="J40" s="42"/>
      <c r="K40" s="29">
        <f>SUM(F40:J40)</f>
        <v>791.05</v>
      </c>
      <c r="L40" s="26">
        <f>SUM(L39+E40-K40)</f>
        <v>1724.7500000000002</v>
      </c>
    </row>
    <row r="41" spans="1:12" ht="15.75" x14ac:dyDescent="0.25">
      <c r="A41" s="16">
        <v>30</v>
      </c>
      <c r="B41" s="46">
        <v>775</v>
      </c>
      <c r="C41" s="47">
        <v>47.45</v>
      </c>
      <c r="D41" s="39"/>
      <c r="E41" s="26">
        <f>SUM(B41:D41)</f>
        <v>822.45</v>
      </c>
      <c r="F41" s="48">
        <v>631.85</v>
      </c>
      <c r="G41" s="39"/>
      <c r="H41" s="39"/>
      <c r="I41" s="49">
        <v>0</v>
      </c>
      <c r="J41" s="42"/>
      <c r="K41" s="29">
        <f>SUM(F41:J41)</f>
        <v>631.85</v>
      </c>
      <c r="L41" s="26">
        <f>SUM(L40+E41-K41)</f>
        <v>1915.3500000000004</v>
      </c>
    </row>
    <row r="42" spans="1:12" ht="15.75" x14ac:dyDescent="0.25">
      <c r="A42" s="17">
        <v>31</v>
      </c>
      <c r="B42" s="46">
        <v>1179.8</v>
      </c>
      <c r="C42" s="47">
        <v>140.35</v>
      </c>
      <c r="D42" s="40"/>
      <c r="E42" s="30">
        <f>SUM(B42:D42)</f>
        <v>1320.1499999999999</v>
      </c>
      <c r="F42" s="48">
        <v>1320.15</v>
      </c>
      <c r="G42" s="40"/>
      <c r="H42" s="40"/>
      <c r="I42" s="49">
        <v>0</v>
      </c>
      <c r="J42" s="43"/>
      <c r="K42" s="31">
        <f>SUM(F42:J42)</f>
        <v>1320.15</v>
      </c>
      <c r="L42" s="30">
        <f>SUM(L41+E42-K42)</f>
        <v>1915.35</v>
      </c>
    </row>
    <row r="43" spans="1:12" x14ac:dyDescent="0.25">
      <c r="A43" s="25" t="s">
        <v>10</v>
      </c>
      <c r="B43" s="32">
        <f>SUM(B12:B42)</f>
        <v>14448.659999999998</v>
      </c>
      <c r="C43" s="32">
        <f>SUM(C12:C42)</f>
        <v>951.9</v>
      </c>
      <c r="D43" s="32">
        <f>SUM(D12:D42)</f>
        <v>0</v>
      </c>
      <c r="E43" s="32">
        <f>SUM(E12:E42)</f>
        <v>15400.56</v>
      </c>
      <c r="F43" s="32">
        <f>SUM(F12:F42)</f>
        <v>13420.209999999997</v>
      </c>
      <c r="G43" s="32">
        <f>SUM(G12:G42)</f>
        <v>0</v>
      </c>
      <c r="H43" s="32">
        <f>SUM(H12:H42)</f>
        <v>0</v>
      </c>
      <c r="I43" s="32">
        <f>SUM(I12:I42)</f>
        <v>65</v>
      </c>
      <c r="J43" s="32">
        <f>SUM(J12:J42)</f>
        <v>0</v>
      </c>
      <c r="K43" s="33">
        <f>SUM(K12:K42)</f>
        <v>13485.209999999997</v>
      </c>
      <c r="L43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2" xr:uid="{6C3C4ECC-8B77-4791-B1CE-1BEE1EBB7EC9}">
      <formula1>0</formula1>
    </dataValidation>
    <dataValidation type="decimal" operator="greaterThanOrEqual" allowBlank="1" showInputMessage="1" showErrorMessage="1" errorTitle="Erreur de saisie !" error="le montant doit être un nombre positif !" sqref="F12:J42" xr:uid="{54BCAAA9-03F1-4CCF-89EA-48DC1E13B162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D8CB-9C0F-4697-AB02-4EDAA3AA6F64}">
  <dimension ref="A1:O40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31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'Janvier 2026'!L42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7">
        <v>28</v>
      </c>
      <c r="B39" s="40"/>
      <c r="C39" s="40"/>
      <c r="D39" s="40"/>
      <c r="E39" s="30">
        <f>SUM(B39:D39)</f>
        <v>0</v>
      </c>
      <c r="F39" s="40"/>
      <c r="G39" s="40"/>
      <c r="H39" s="40"/>
      <c r="I39" s="40"/>
      <c r="J39" s="43"/>
      <c r="K39" s="31">
        <f>SUM(F39:J39)</f>
        <v>0</v>
      </c>
      <c r="L39" s="30">
        <f>SUM(L38+E39-K39)</f>
        <v>1915.35</v>
      </c>
    </row>
    <row r="40" spans="1:12" x14ac:dyDescent="0.25">
      <c r="A40" s="25" t="s">
        <v>10</v>
      </c>
      <c r="B40" s="32">
        <f>SUM(B12:B39)</f>
        <v>0</v>
      </c>
      <c r="C40" s="32">
        <f>SUM(C12:C39)</f>
        <v>0</v>
      </c>
      <c r="D40" s="32">
        <f>SUM(D12:D39)</f>
        <v>0</v>
      </c>
      <c r="E40" s="32">
        <f>SUM(E12:E39)</f>
        <v>0</v>
      </c>
      <c r="F40" s="32">
        <f>SUM(F12:F39)</f>
        <v>0</v>
      </c>
      <c r="G40" s="32">
        <f>SUM(G12:G39)</f>
        <v>0</v>
      </c>
      <c r="H40" s="32">
        <f>SUM(H12:H39)</f>
        <v>0</v>
      </c>
      <c r="I40" s="32">
        <f>SUM(I12:I39)</f>
        <v>0</v>
      </c>
      <c r="J40" s="32">
        <f>SUM(J12:J39)</f>
        <v>0</v>
      </c>
      <c r="K40" s="33">
        <f>SUM(K12:K39)</f>
        <v>0</v>
      </c>
      <c r="L40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39" xr:uid="{FA70BE06-A8CA-42E0-B875-9FB69175A354}">
      <formula1>0</formula1>
    </dataValidation>
    <dataValidation type="decimal" operator="greaterThanOrEqual" allowBlank="1" showInputMessage="1" showErrorMessage="1" errorTitle="Erreur de saisie !" error="le montant doit être un nombre positif !" sqref="F12:J39" xr:uid="{F550A5EB-BA29-418B-B959-FE53F132E766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1C20-81D2-4801-812A-4A73601F7DC4}">
  <dimension ref="A1:O43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30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'Février 2026'!L39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6">
        <v>30</v>
      </c>
      <c r="B41" s="39"/>
      <c r="C41" s="39"/>
      <c r="D41" s="39"/>
      <c r="E41" s="26">
        <f>SUM(B41:D41)</f>
        <v>0</v>
      </c>
      <c r="F41" s="39"/>
      <c r="G41" s="39"/>
      <c r="H41" s="39"/>
      <c r="I41" s="39"/>
      <c r="J41" s="42"/>
      <c r="K41" s="29">
        <f>SUM(F41:J41)</f>
        <v>0</v>
      </c>
      <c r="L41" s="26">
        <f>SUM(L40+E41-K41)</f>
        <v>1915.35</v>
      </c>
    </row>
    <row r="42" spans="1:12" x14ac:dyDescent="0.25">
      <c r="A42" s="17">
        <v>31</v>
      </c>
      <c r="B42" s="40"/>
      <c r="C42" s="40"/>
      <c r="D42" s="40"/>
      <c r="E42" s="30">
        <f>SUM(B42:D42)</f>
        <v>0</v>
      </c>
      <c r="F42" s="40"/>
      <c r="G42" s="40"/>
      <c r="H42" s="40"/>
      <c r="I42" s="40"/>
      <c r="J42" s="43"/>
      <c r="K42" s="31">
        <f>SUM(F42:J42)</f>
        <v>0</v>
      </c>
      <c r="L42" s="30">
        <f>SUM(L41+E42-K42)</f>
        <v>1915.35</v>
      </c>
    </row>
    <row r="43" spans="1:12" x14ac:dyDescent="0.25">
      <c r="A43" s="25" t="s">
        <v>10</v>
      </c>
      <c r="B43" s="32">
        <f>SUM(B12:B42)</f>
        <v>0</v>
      </c>
      <c r="C43" s="32">
        <f>SUM(C12:C42)</f>
        <v>0</v>
      </c>
      <c r="D43" s="32">
        <f>SUM(D12:D42)</f>
        <v>0</v>
      </c>
      <c r="E43" s="32">
        <f>SUM(E12:E42)</f>
        <v>0</v>
      </c>
      <c r="F43" s="32">
        <f>SUM(F12:F42)</f>
        <v>0</v>
      </c>
      <c r="G43" s="32">
        <f>SUM(G12:G42)</f>
        <v>0</v>
      </c>
      <c r="H43" s="32">
        <f>SUM(H12:H42)</f>
        <v>0</v>
      </c>
      <c r="I43" s="32">
        <f>SUM(I12:I42)</f>
        <v>0</v>
      </c>
      <c r="J43" s="32">
        <f>SUM(J12:J42)</f>
        <v>0</v>
      </c>
      <c r="K43" s="33">
        <f>SUM(K12:K42)</f>
        <v>0</v>
      </c>
      <c r="L43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2" xr:uid="{E2C775FE-E4F2-465E-A1C3-1F3F75928E3B}">
      <formula1>0</formula1>
    </dataValidation>
    <dataValidation type="decimal" operator="greaterThanOrEqual" allowBlank="1" showInputMessage="1" showErrorMessage="1" errorTitle="Erreur de saisie !" error="le montant doit être un nombre positif !" sqref="F12:J42" xr:uid="{725A7F87-1804-4D19-AAD6-F5ADD9BA3826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1697-AF87-43DF-92C7-E43B31EA983B}">
  <dimension ref="A1:O42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29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'Mars 2026'!L42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7">
        <v>30</v>
      </c>
      <c r="B41" s="40"/>
      <c r="C41" s="40"/>
      <c r="D41" s="40"/>
      <c r="E41" s="30">
        <f>SUM(B41:D41)</f>
        <v>0</v>
      </c>
      <c r="F41" s="40"/>
      <c r="G41" s="40"/>
      <c r="H41" s="40"/>
      <c r="I41" s="40"/>
      <c r="J41" s="43"/>
      <c r="K41" s="31">
        <f>SUM(F41:J41)</f>
        <v>0</v>
      </c>
      <c r="L41" s="30">
        <f>SUM(L40+E41-K41)</f>
        <v>1915.35</v>
      </c>
    </row>
    <row r="42" spans="1:12" x14ac:dyDescent="0.25">
      <c r="A42" s="25" t="s">
        <v>10</v>
      </c>
      <c r="B42" s="32">
        <f>SUM(B12:B41)</f>
        <v>0</v>
      </c>
      <c r="C42" s="32">
        <f>SUM(C12:C41)</f>
        <v>0</v>
      </c>
      <c r="D42" s="32">
        <f>SUM(D12:D41)</f>
        <v>0</v>
      </c>
      <c r="E42" s="32">
        <f>SUM(E12:E41)</f>
        <v>0</v>
      </c>
      <c r="F42" s="32">
        <f>SUM(F12:F41)</f>
        <v>0</v>
      </c>
      <c r="G42" s="32">
        <f>SUM(G12:G41)</f>
        <v>0</v>
      </c>
      <c r="H42" s="32">
        <f>SUM(H12:H41)</f>
        <v>0</v>
      </c>
      <c r="I42" s="32">
        <f>SUM(I12:I41)</f>
        <v>0</v>
      </c>
      <c r="J42" s="32">
        <f>SUM(J12:J41)</f>
        <v>0</v>
      </c>
      <c r="K42" s="33">
        <f>SUM(K12:K41)</f>
        <v>0</v>
      </c>
      <c r="L42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1" xr:uid="{80E27725-FEB3-4F55-A46D-DE69E56EA9B8}">
      <formula1>0</formula1>
    </dataValidation>
    <dataValidation type="decimal" operator="greaterThanOrEqual" allowBlank="1" showInputMessage="1" showErrorMessage="1" errorTitle="Erreur de saisie !" error="le montant doit être un nombre positif !" sqref="F12:J41" xr:uid="{C24FB669-DC94-4143-9088-EEDC31499CBF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45B8-4DCF-4E07-AE46-3E02C00440A3}">
  <dimension ref="A1:O43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28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'Avril 2026'!L41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6">
        <v>30</v>
      </c>
      <c r="B41" s="39"/>
      <c r="C41" s="39"/>
      <c r="D41" s="39"/>
      <c r="E41" s="26">
        <f>SUM(B41:D41)</f>
        <v>0</v>
      </c>
      <c r="F41" s="39"/>
      <c r="G41" s="39"/>
      <c r="H41" s="39"/>
      <c r="I41" s="39"/>
      <c r="J41" s="42"/>
      <c r="K41" s="29">
        <f>SUM(F41:J41)</f>
        <v>0</v>
      </c>
      <c r="L41" s="26">
        <f>SUM(L40+E41-K41)</f>
        <v>1915.35</v>
      </c>
    </row>
    <row r="42" spans="1:12" x14ac:dyDescent="0.25">
      <c r="A42" s="17">
        <v>31</v>
      </c>
      <c r="B42" s="40"/>
      <c r="C42" s="40"/>
      <c r="D42" s="40"/>
      <c r="E42" s="30">
        <f>SUM(B42:D42)</f>
        <v>0</v>
      </c>
      <c r="F42" s="40"/>
      <c r="G42" s="40"/>
      <c r="H42" s="40"/>
      <c r="I42" s="40"/>
      <c r="J42" s="43"/>
      <c r="K42" s="31">
        <f>SUM(F42:J42)</f>
        <v>0</v>
      </c>
      <c r="L42" s="30">
        <f>SUM(L41+E42-K42)</f>
        <v>1915.35</v>
      </c>
    </row>
    <row r="43" spans="1:12" x14ac:dyDescent="0.25">
      <c r="A43" s="25" t="s">
        <v>10</v>
      </c>
      <c r="B43" s="32">
        <f>SUM(B12:B42)</f>
        <v>0</v>
      </c>
      <c r="C43" s="32">
        <f>SUM(C12:C42)</f>
        <v>0</v>
      </c>
      <c r="D43" s="32">
        <f>SUM(D12:D42)</f>
        <v>0</v>
      </c>
      <c r="E43" s="32">
        <f>SUM(E12:E42)</f>
        <v>0</v>
      </c>
      <c r="F43" s="32">
        <f>SUM(F12:F42)</f>
        <v>0</v>
      </c>
      <c r="G43" s="32">
        <f>SUM(G12:G42)</f>
        <v>0</v>
      </c>
      <c r="H43" s="32">
        <f>SUM(H12:H42)</f>
        <v>0</v>
      </c>
      <c r="I43" s="32">
        <f>SUM(I12:I42)</f>
        <v>0</v>
      </c>
      <c r="J43" s="32">
        <f>SUM(J12:J42)</f>
        <v>0</v>
      </c>
      <c r="K43" s="33">
        <f>SUM(K12:K42)</f>
        <v>0</v>
      </c>
      <c r="L43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2" xr:uid="{B4266375-250B-44F3-B85C-024A111D8AD0}">
      <formula1>0</formula1>
    </dataValidation>
    <dataValidation type="decimal" operator="greaterThanOrEqual" allowBlank="1" showInputMessage="1" showErrorMessage="1" errorTitle="Erreur de saisie !" error="le montant doit être un nombre positif !" sqref="F12:J42" xr:uid="{AA988609-A28C-4C29-8A94-04BB2F1E8A9B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7103-3E2F-464B-954B-249363817856}">
  <dimension ref="A1:O42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27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'Mai 2026'!L42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7">
        <v>30</v>
      </c>
      <c r="B41" s="40"/>
      <c r="C41" s="40"/>
      <c r="D41" s="40"/>
      <c r="E41" s="30">
        <f>SUM(B41:D41)</f>
        <v>0</v>
      </c>
      <c r="F41" s="40"/>
      <c r="G41" s="40"/>
      <c r="H41" s="40"/>
      <c r="I41" s="40"/>
      <c r="J41" s="43"/>
      <c r="K41" s="31">
        <f>SUM(F41:J41)</f>
        <v>0</v>
      </c>
      <c r="L41" s="30">
        <f>SUM(L40+E41-K41)</f>
        <v>1915.35</v>
      </c>
    </row>
    <row r="42" spans="1:12" x14ac:dyDescent="0.25">
      <c r="A42" s="25" t="s">
        <v>10</v>
      </c>
      <c r="B42" s="32">
        <f>SUM(B12:B41)</f>
        <v>0</v>
      </c>
      <c r="C42" s="32">
        <f>SUM(C12:C41)</f>
        <v>0</v>
      </c>
      <c r="D42" s="32">
        <f>SUM(D12:D41)</f>
        <v>0</v>
      </c>
      <c r="E42" s="32">
        <f>SUM(E12:E41)</f>
        <v>0</v>
      </c>
      <c r="F42" s="32">
        <f>SUM(F12:F41)</f>
        <v>0</v>
      </c>
      <c r="G42" s="32">
        <f>SUM(G12:G41)</f>
        <v>0</v>
      </c>
      <c r="H42" s="32">
        <f>SUM(H12:H41)</f>
        <v>0</v>
      </c>
      <c r="I42" s="32">
        <f>SUM(I12:I41)</f>
        <v>0</v>
      </c>
      <c r="J42" s="32">
        <f>SUM(J12:J41)</f>
        <v>0</v>
      </c>
      <c r="K42" s="33">
        <f>SUM(K12:K41)</f>
        <v>0</v>
      </c>
      <c r="L42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1" xr:uid="{FFA01331-3A71-4596-836B-140BE9189991}">
      <formula1>0</formula1>
    </dataValidation>
    <dataValidation type="decimal" operator="greaterThanOrEqual" allowBlank="1" showInputMessage="1" showErrorMessage="1" errorTitle="Erreur de saisie !" error="le montant doit être un nombre positif !" sqref="F12:J41" xr:uid="{86F44A4C-EEC0-433A-92C3-6805456E84CF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67ED-E204-439B-9200-0127A2F6E158}">
  <dimension ref="A1:O43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26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'Juin 2026'!L41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6">
        <v>30</v>
      </c>
      <c r="B41" s="39"/>
      <c r="C41" s="39"/>
      <c r="D41" s="39"/>
      <c r="E41" s="26">
        <f>SUM(B41:D41)</f>
        <v>0</v>
      </c>
      <c r="F41" s="39"/>
      <c r="G41" s="39"/>
      <c r="H41" s="39"/>
      <c r="I41" s="39"/>
      <c r="J41" s="42"/>
      <c r="K41" s="29">
        <f>SUM(F41:J41)</f>
        <v>0</v>
      </c>
      <c r="L41" s="26">
        <f>SUM(L40+E41-K41)</f>
        <v>1915.35</v>
      </c>
    </row>
    <row r="42" spans="1:12" x14ac:dyDescent="0.25">
      <c r="A42" s="17">
        <v>31</v>
      </c>
      <c r="B42" s="40"/>
      <c r="C42" s="40"/>
      <c r="D42" s="40"/>
      <c r="E42" s="30">
        <f>SUM(B42:D42)</f>
        <v>0</v>
      </c>
      <c r="F42" s="40"/>
      <c r="G42" s="40"/>
      <c r="H42" s="40"/>
      <c r="I42" s="40"/>
      <c r="J42" s="43"/>
      <c r="K42" s="31">
        <f>SUM(F42:J42)</f>
        <v>0</v>
      </c>
      <c r="L42" s="30">
        <f>SUM(L41+E42-K42)</f>
        <v>1915.35</v>
      </c>
    </row>
    <row r="43" spans="1:12" x14ac:dyDescent="0.25">
      <c r="A43" s="25" t="s">
        <v>10</v>
      </c>
      <c r="B43" s="32">
        <f>SUM(B12:B42)</f>
        <v>0</v>
      </c>
      <c r="C43" s="32">
        <f>SUM(C12:C42)</f>
        <v>0</v>
      </c>
      <c r="D43" s="32">
        <f>SUM(D12:D42)</f>
        <v>0</v>
      </c>
      <c r="E43" s="32">
        <f>SUM(E12:E42)</f>
        <v>0</v>
      </c>
      <c r="F43" s="32">
        <f>SUM(F12:F42)</f>
        <v>0</v>
      </c>
      <c r="G43" s="32">
        <f>SUM(G12:G42)</f>
        <v>0</v>
      </c>
      <c r="H43" s="32">
        <f>SUM(H12:H42)</f>
        <v>0</v>
      </c>
      <c r="I43" s="32">
        <f>SUM(I12:I42)</f>
        <v>0</v>
      </c>
      <c r="J43" s="32">
        <f>SUM(J12:J42)</f>
        <v>0</v>
      </c>
      <c r="K43" s="33">
        <f>SUM(K12:K42)</f>
        <v>0</v>
      </c>
      <c r="L43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2" xr:uid="{5AAF037F-83B7-46AD-8292-9D00436474F3}">
      <formula1>0</formula1>
    </dataValidation>
    <dataValidation type="decimal" operator="greaterThanOrEqual" allowBlank="1" showInputMessage="1" showErrorMessage="1" errorTitle="Erreur de saisie !" error="le montant doit être un nombre positif !" sqref="F12:J42" xr:uid="{744C1063-06CD-4CBB-B7E4-6A38CAB1646A}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89E6-9E38-43F7-AA7B-6D9D26B9BFC8}">
  <dimension ref="A1:O43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25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'Juillet 2026'!L42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6">
        <v>30</v>
      </c>
      <c r="B41" s="39"/>
      <c r="C41" s="39"/>
      <c r="D41" s="39"/>
      <c r="E41" s="26">
        <f>SUM(B41:D41)</f>
        <v>0</v>
      </c>
      <c r="F41" s="39"/>
      <c r="G41" s="39"/>
      <c r="H41" s="39"/>
      <c r="I41" s="39"/>
      <c r="J41" s="42"/>
      <c r="K41" s="29">
        <f>SUM(F41:J41)</f>
        <v>0</v>
      </c>
      <c r="L41" s="26">
        <f>SUM(L40+E41-K41)</f>
        <v>1915.35</v>
      </c>
    </row>
    <row r="42" spans="1:12" x14ac:dyDescent="0.25">
      <c r="A42" s="17">
        <v>31</v>
      </c>
      <c r="B42" s="40"/>
      <c r="C42" s="40"/>
      <c r="D42" s="40"/>
      <c r="E42" s="30">
        <f>SUM(B42:D42)</f>
        <v>0</v>
      </c>
      <c r="F42" s="40"/>
      <c r="G42" s="40"/>
      <c r="H42" s="40"/>
      <c r="I42" s="40"/>
      <c r="J42" s="43"/>
      <c r="K42" s="31">
        <f>SUM(F42:J42)</f>
        <v>0</v>
      </c>
      <c r="L42" s="30">
        <f>SUM(L41+E42-K42)</f>
        <v>1915.35</v>
      </c>
    </row>
    <row r="43" spans="1:12" x14ac:dyDescent="0.25">
      <c r="A43" s="25" t="s">
        <v>10</v>
      </c>
      <c r="B43" s="32">
        <f>SUM(B12:B42)</f>
        <v>0</v>
      </c>
      <c r="C43" s="32">
        <f>SUM(C12:C42)</f>
        <v>0</v>
      </c>
      <c r="D43" s="32">
        <f>SUM(D12:D42)</f>
        <v>0</v>
      </c>
      <c r="E43" s="32">
        <f>SUM(E12:E42)</f>
        <v>0</v>
      </c>
      <c r="F43" s="32">
        <f>SUM(F12:F42)</f>
        <v>0</v>
      </c>
      <c r="G43" s="32">
        <f>SUM(G12:G42)</f>
        <v>0</v>
      </c>
      <c r="H43" s="32">
        <f>SUM(H12:H42)</f>
        <v>0</v>
      </c>
      <c r="I43" s="32">
        <f>SUM(I12:I42)</f>
        <v>0</v>
      </c>
      <c r="J43" s="32">
        <f>SUM(J12:J42)</f>
        <v>0</v>
      </c>
      <c r="K43" s="33">
        <f>SUM(K12:K42)</f>
        <v>0</v>
      </c>
      <c r="L43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2" xr:uid="{A608D20B-55CE-4617-B115-9E2FE209AFA5}">
      <formula1>0</formula1>
    </dataValidation>
    <dataValidation type="decimal" operator="greaterThanOrEqual" allowBlank="1" showInputMessage="1" showErrorMessage="1" errorTitle="Erreur de saisie !" error="le montant doit être un nombre positif !" sqref="F12:J42" xr:uid="{7C8DB4AF-5160-425A-B41D-49DA89FFA7C0}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ED57-E339-4AEF-BA12-D2696D22A3E1}">
  <dimension ref="A1:O42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24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'Août 2026'!L42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7">
        <v>30</v>
      </c>
      <c r="B41" s="40"/>
      <c r="C41" s="40"/>
      <c r="D41" s="40"/>
      <c r="E41" s="30">
        <f>SUM(B41:D41)</f>
        <v>0</v>
      </c>
      <c r="F41" s="40"/>
      <c r="G41" s="40"/>
      <c r="H41" s="40"/>
      <c r="I41" s="40"/>
      <c r="J41" s="43"/>
      <c r="K41" s="31">
        <f>SUM(F41:J41)</f>
        <v>0</v>
      </c>
      <c r="L41" s="30">
        <f>SUM(L40+E41-K41)</f>
        <v>1915.35</v>
      </c>
    </row>
    <row r="42" spans="1:12" x14ac:dyDescent="0.25">
      <c r="A42" s="25" t="s">
        <v>10</v>
      </c>
      <c r="B42" s="32">
        <f>SUM(B12:B41)</f>
        <v>0</v>
      </c>
      <c r="C42" s="32">
        <f>SUM(C12:C41)</f>
        <v>0</v>
      </c>
      <c r="D42" s="32">
        <f>SUM(D12:D41)</f>
        <v>0</v>
      </c>
      <c r="E42" s="32">
        <f>SUM(E12:E41)</f>
        <v>0</v>
      </c>
      <c r="F42" s="32">
        <f>SUM(F12:F41)</f>
        <v>0</v>
      </c>
      <c r="G42" s="32">
        <f>SUM(G12:G41)</f>
        <v>0</v>
      </c>
      <c r="H42" s="32">
        <f>SUM(H12:H41)</f>
        <v>0</v>
      </c>
      <c r="I42" s="32">
        <f>SUM(I12:I41)</f>
        <v>0</v>
      </c>
      <c r="J42" s="32">
        <f>SUM(J12:J41)</f>
        <v>0</v>
      </c>
      <c r="K42" s="33">
        <f>SUM(K12:K41)</f>
        <v>0</v>
      </c>
      <c r="L42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1" xr:uid="{08DA9FC8-F917-4A1F-A44B-A68A330D3FCB}">
      <formula1>0</formula1>
    </dataValidation>
    <dataValidation type="decimal" operator="greaterThanOrEqual" allowBlank="1" showInputMessage="1" showErrorMessage="1" errorTitle="Erreur de saisie !" error="le montant doit être un nombre positif !" sqref="F12:J41" xr:uid="{42BA7BAB-125E-417F-AA45-78204419B5CB}">
      <formula1>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C227-B362-48E5-9701-195B8D627C9C}">
  <dimension ref="A1:O43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23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'Septembre 2026'!L41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6">
        <v>30</v>
      </c>
      <c r="B41" s="39"/>
      <c r="C41" s="39"/>
      <c r="D41" s="39"/>
      <c r="E41" s="26">
        <f>SUM(B41:D41)</f>
        <v>0</v>
      </c>
      <c r="F41" s="39"/>
      <c r="G41" s="39"/>
      <c r="H41" s="39"/>
      <c r="I41" s="39"/>
      <c r="J41" s="42"/>
      <c r="K41" s="29">
        <f>SUM(F41:J41)</f>
        <v>0</v>
      </c>
      <c r="L41" s="26">
        <f>SUM(L40+E41-K41)</f>
        <v>1915.35</v>
      </c>
    </row>
    <row r="42" spans="1:12" x14ac:dyDescent="0.25">
      <c r="A42" s="17">
        <v>31</v>
      </c>
      <c r="B42" s="40"/>
      <c r="C42" s="40"/>
      <c r="D42" s="40"/>
      <c r="E42" s="30">
        <f>SUM(B42:D42)</f>
        <v>0</v>
      </c>
      <c r="F42" s="40"/>
      <c r="G42" s="40"/>
      <c r="H42" s="40"/>
      <c r="I42" s="40"/>
      <c r="J42" s="43"/>
      <c r="K42" s="31">
        <f>SUM(F42:J42)</f>
        <v>0</v>
      </c>
      <c r="L42" s="30">
        <f>SUM(L41+E42-K42)</f>
        <v>1915.35</v>
      </c>
    </row>
    <row r="43" spans="1:12" x14ac:dyDescent="0.25">
      <c r="A43" s="25" t="s">
        <v>10</v>
      </c>
      <c r="B43" s="32">
        <f>SUM(B12:B42)</f>
        <v>0</v>
      </c>
      <c r="C43" s="32">
        <f>SUM(C12:C42)</f>
        <v>0</v>
      </c>
      <c r="D43" s="32">
        <f>SUM(D12:D42)</f>
        <v>0</v>
      </c>
      <c r="E43" s="32">
        <f>SUM(E12:E42)</f>
        <v>0</v>
      </c>
      <c r="F43" s="32">
        <f>SUM(F12:F42)</f>
        <v>0</v>
      </c>
      <c r="G43" s="32">
        <f>SUM(G12:G42)</f>
        <v>0</v>
      </c>
      <c r="H43" s="32">
        <f>SUM(H12:H42)</f>
        <v>0</v>
      </c>
      <c r="I43" s="32">
        <f>SUM(I12:I42)</f>
        <v>0</v>
      </c>
      <c r="J43" s="32">
        <f>SUM(J12:J42)</f>
        <v>0</v>
      </c>
      <c r="K43" s="33">
        <f>SUM(K12:K42)</f>
        <v>0</v>
      </c>
      <c r="L43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2" xr:uid="{69F620ED-498C-43AA-957E-856601EF7790}">
      <formula1>0</formula1>
    </dataValidation>
    <dataValidation type="decimal" operator="greaterThanOrEqual" allowBlank="1" showInputMessage="1" showErrorMessage="1" errorTitle="Erreur de saisie !" error="le montant doit être un nombre positif !" sqref="F12:J42" xr:uid="{5A2318D2-378C-4B5E-AC08-AD49F1001765}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4811-F341-4446-AB16-3AFE2E4966A3}">
  <dimension ref="A1:O42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5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22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'Octobre 2026'!L42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7">
        <v>30</v>
      </c>
      <c r="B41" s="40"/>
      <c r="C41" s="40"/>
      <c r="D41" s="40"/>
      <c r="E41" s="30">
        <f>SUM(B41:D41)</f>
        <v>0</v>
      </c>
      <c r="F41" s="40"/>
      <c r="G41" s="40"/>
      <c r="H41" s="40"/>
      <c r="I41" s="40"/>
      <c r="J41" s="43"/>
      <c r="K41" s="31">
        <f>SUM(F41:J41)</f>
        <v>0</v>
      </c>
      <c r="L41" s="30">
        <f>SUM(L40+E41-K41)</f>
        <v>1915.35</v>
      </c>
    </row>
    <row r="42" spans="1:12" x14ac:dyDescent="0.25">
      <c r="A42" s="25" t="s">
        <v>10</v>
      </c>
      <c r="B42" s="32">
        <f>SUM(B12:B41)</f>
        <v>0</v>
      </c>
      <c r="C42" s="32">
        <f>SUM(C12:C41)</f>
        <v>0</v>
      </c>
      <c r="D42" s="32">
        <f>SUM(D12:D41)</f>
        <v>0</v>
      </c>
      <c r="E42" s="32">
        <f>SUM(E12:E41)</f>
        <v>0</v>
      </c>
      <c r="F42" s="32">
        <f>SUM(F12:F41)</f>
        <v>0</v>
      </c>
      <c r="G42" s="32">
        <f>SUM(G12:G41)</f>
        <v>0</v>
      </c>
      <c r="H42" s="32">
        <f>SUM(H12:H41)</f>
        <v>0</v>
      </c>
      <c r="I42" s="32">
        <f>SUM(I12:I41)</f>
        <v>0</v>
      </c>
      <c r="J42" s="32">
        <f>SUM(J12:J41)</f>
        <v>0</v>
      </c>
      <c r="K42" s="33">
        <f>SUM(K12:K41)</f>
        <v>0</v>
      </c>
      <c r="L42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1" xr:uid="{A19C54F7-8DE9-4339-9B7D-4BFA72CA6520}">
      <formula1>0</formula1>
    </dataValidation>
    <dataValidation type="decimal" operator="greaterThanOrEqual" allowBlank="1" showInputMessage="1" showErrorMessage="1" errorTitle="Erreur de saisie !" error="le montant doit être un nombre positif !" sqref="F12:J41" xr:uid="{2A6E5EA7-4E9B-49CB-85F6-1C3A4850DF2B}">
      <formula1>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C495-0AD4-4145-B457-EB29E3DB743E}">
  <dimension ref="A1:O43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2" sqref="B12"/>
    </sheetView>
  </sheetViews>
  <sheetFormatPr baseColWidth="10" defaultRowHeight="15" x14ac:dyDescent="0.25"/>
  <cols>
    <col min="1" max="1" width="5.42578125" style="13" bestFit="1" customWidth="1"/>
    <col min="5" max="6" width="12.85546875" customWidth="1"/>
    <col min="11" max="12" width="12.85546875" customWidth="1"/>
  </cols>
  <sheetData>
    <row r="1" spans="1:15" ht="27" customHeight="1" x14ac:dyDescent="0.25">
      <c r="B1" s="1" t="s">
        <v>0</v>
      </c>
      <c r="C1" s="1"/>
      <c r="D1" s="1"/>
      <c r="E1" s="1"/>
      <c r="F1" s="1"/>
      <c r="G1" s="1"/>
      <c r="H1" s="1"/>
      <c r="I1" s="3" t="s">
        <v>3</v>
      </c>
      <c r="J1" s="3"/>
      <c r="K1" s="3"/>
      <c r="L1" s="3"/>
      <c r="M1" s="3"/>
      <c r="N1" s="3"/>
      <c r="O1" s="4"/>
    </row>
    <row r="2" spans="1:15" ht="15.75" customHeight="1" x14ac:dyDescent="0.25">
      <c r="B2" s="2" t="s">
        <v>1</v>
      </c>
      <c r="C2" s="2"/>
      <c r="D2" s="2"/>
      <c r="E2" s="2"/>
      <c r="F2" s="2"/>
      <c r="G2" s="2"/>
      <c r="H2" s="2"/>
      <c r="I2" s="5" t="s">
        <v>4</v>
      </c>
      <c r="J2" s="5"/>
      <c r="K2" s="5"/>
      <c r="L2" s="5"/>
      <c r="M2" s="5"/>
      <c r="N2" s="5"/>
      <c r="O2" s="6"/>
    </row>
    <row r="3" spans="1:15" ht="15.75" customHeight="1" x14ac:dyDescent="0.25">
      <c r="B3" s="2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6"/>
    </row>
    <row r="4" spans="1:15" ht="15.75" customHeight="1" x14ac:dyDescent="0.25">
      <c r="B4" s="2" t="s">
        <v>2</v>
      </c>
      <c r="C4" s="2"/>
      <c r="D4" s="2"/>
      <c r="E4" s="2"/>
      <c r="F4" s="2"/>
      <c r="G4" s="2"/>
      <c r="H4" s="2"/>
      <c r="I4" s="7" t="s">
        <v>5</v>
      </c>
      <c r="J4" s="7"/>
      <c r="K4" s="7"/>
      <c r="L4" s="7"/>
      <c r="M4" s="7"/>
      <c r="N4" s="7"/>
      <c r="O4" s="8"/>
    </row>
    <row r="6" spans="1:15" x14ac:dyDescent="0.25">
      <c r="F6" s="9" t="s">
        <v>6</v>
      </c>
      <c r="G6" s="10"/>
      <c r="H6" s="10"/>
      <c r="I6" s="10"/>
      <c r="J6" s="10"/>
      <c r="K6" s="11"/>
    </row>
    <row r="7" spans="1:15" x14ac:dyDescent="0.25">
      <c r="B7" s="12" t="s">
        <v>7</v>
      </c>
      <c r="C7" s="12" t="s">
        <v>8</v>
      </c>
    </row>
    <row r="9" spans="1:15" x14ac:dyDescent="0.25">
      <c r="B9" s="18" t="s">
        <v>11</v>
      </c>
      <c r="C9" s="19"/>
      <c r="D9" s="19"/>
      <c r="E9" s="20"/>
      <c r="F9" s="22" t="s">
        <v>16</v>
      </c>
      <c r="G9" s="23"/>
      <c r="H9" s="23"/>
      <c r="I9" s="23"/>
      <c r="J9" s="23"/>
      <c r="K9" s="24"/>
    </row>
    <row r="10" spans="1:15" ht="45" x14ac:dyDescent="0.25">
      <c r="B10" s="21" t="s">
        <v>12</v>
      </c>
      <c r="C10" s="21" t="s">
        <v>13</v>
      </c>
      <c r="D10" s="21" t="s">
        <v>14</v>
      </c>
      <c r="E10" s="21" t="s">
        <v>10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10</v>
      </c>
      <c r="L10" s="21" t="s">
        <v>15</v>
      </c>
    </row>
    <row r="11" spans="1:15" x14ac:dyDescent="0.25">
      <c r="A11" s="14" t="s">
        <v>9</v>
      </c>
      <c r="B11" s="35"/>
      <c r="C11" s="36"/>
      <c r="D11" s="36"/>
      <c r="E11" s="36"/>
      <c r="F11" s="36"/>
      <c r="G11" s="36"/>
      <c r="H11" s="36"/>
      <c r="I11" s="36"/>
      <c r="J11" s="36"/>
      <c r="K11" s="37"/>
      <c r="L11" s="45">
        <f>'Novembre 2026'!L41</f>
        <v>1915.35</v>
      </c>
    </row>
    <row r="12" spans="1:15" x14ac:dyDescent="0.25">
      <c r="A12" s="15">
        <v>1</v>
      </c>
      <c r="B12" s="38"/>
      <c r="C12" s="38"/>
      <c r="D12" s="38"/>
      <c r="E12" s="26">
        <f>SUM(B12:D12)</f>
        <v>0</v>
      </c>
      <c r="F12" s="38"/>
      <c r="G12" s="38"/>
      <c r="H12" s="38"/>
      <c r="I12" s="38"/>
      <c r="J12" s="41"/>
      <c r="K12" s="27">
        <f>SUM(F12:J12)</f>
        <v>0</v>
      </c>
      <c r="L12" s="28">
        <f>SUM(L11+E12-K12)</f>
        <v>1915.35</v>
      </c>
    </row>
    <row r="13" spans="1:15" x14ac:dyDescent="0.25">
      <c r="A13" s="16">
        <v>2</v>
      </c>
      <c r="B13" s="39"/>
      <c r="C13" s="39"/>
      <c r="D13" s="39"/>
      <c r="E13" s="26">
        <f>SUM(B13:D13)</f>
        <v>0</v>
      </c>
      <c r="F13" s="39"/>
      <c r="G13" s="39"/>
      <c r="H13" s="39"/>
      <c r="I13" s="39"/>
      <c r="J13" s="42"/>
      <c r="K13" s="29">
        <f>SUM(F13:J13)</f>
        <v>0</v>
      </c>
      <c r="L13" s="26">
        <f>SUM(L12+E13-K13)</f>
        <v>1915.35</v>
      </c>
    </row>
    <row r="14" spans="1:15" x14ac:dyDescent="0.25">
      <c r="A14" s="16">
        <v>3</v>
      </c>
      <c r="B14" s="39"/>
      <c r="C14" s="39"/>
      <c r="D14" s="39"/>
      <c r="E14" s="26">
        <f>SUM(B14:D14)</f>
        <v>0</v>
      </c>
      <c r="F14" s="39"/>
      <c r="G14" s="39"/>
      <c r="H14" s="39"/>
      <c r="I14" s="39"/>
      <c r="J14" s="42"/>
      <c r="K14" s="29">
        <f>SUM(F14:J14)</f>
        <v>0</v>
      </c>
      <c r="L14" s="26">
        <f>SUM(L13+E14-K14)</f>
        <v>1915.35</v>
      </c>
    </row>
    <row r="15" spans="1:15" x14ac:dyDescent="0.25">
      <c r="A15" s="16">
        <v>4</v>
      </c>
      <c r="B15" s="39"/>
      <c r="C15" s="39"/>
      <c r="D15" s="39"/>
      <c r="E15" s="26">
        <f>SUM(B15:D15)</f>
        <v>0</v>
      </c>
      <c r="F15" s="39"/>
      <c r="G15" s="39"/>
      <c r="H15" s="39"/>
      <c r="I15" s="39"/>
      <c r="J15" s="42"/>
      <c r="K15" s="29">
        <f>SUM(F15:J15)</f>
        <v>0</v>
      </c>
      <c r="L15" s="26">
        <f>SUM(L14+E15-K15)</f>
        <v>1915.35</v>
      </c>
    </row>
    <row r="16" spans="1:15" x14ac:dyDescent="0.25">
      <c r="A16" s="16">
        <v>5</v>
      </c>
      <c r="B16" s="39"/>
      <c r="C16" s="39"/>
      <c r="D16" s="39"/>
      <c r="E16" s="26">
        <f>SUM(B16:D16)</f>
        <v>0</v>
      </c>
      <c r="F16" s="39"/>
      <c r="G16" s="39"/>
      <c r="H16" s="39"/>
      <c r="I16" s="39"/>
      <c r="J16" s="42"/>
      <c r="K16" s="29">
        <f>SUM(F16:J16)</f>
        <v>0</v>
      </c>
      <c r="L16" s="26">
        <f>SUM(L15+E16-K16)</f>
        <v>1915.35</v>
      </c>
    </row>
    <row r="17" spans="1:12" x14ac:dyDescent="0.25">
      <c r="A17" s="16">
        <v>6</v>
      </c>
      <c r="B17" s="39"/>
      <c r="C17" s="39"/>
      <c r="D17" s="39"/>
      <c r="E17" s="26">
        <f>SUM(B17:D17)</f>
        <v>0</v>
      </c>
      <c r="F17" s="39"/>
      <c r="G17" s="39"/>
      <c r="H17" s="39"/>
      <c r="I17" s="39"/>
      <c r="J17" s="42"/>
      <c r="K17" s="29">
        <f>SUM(F17:J17)</f>
        <v>0</v>
      </c>
      <c r="L17" s="26">
        <f>SUM(L16+E17-K17)</f>
        <v>1915.35</v>
      </c>
    </row>
    <row r="18" spans="1:12" x14ac:dyDescent="0.25">
      <c r="A18" s="16">
        <v>7</v>
      </c>
      <c r="B18" s="39"/>
      <c r="C18" s="39"/>
      <c r="D18" s="39"/>
      <c r="E18" s="26">
        <f>SUM(B18:D18)</f>
        <v>0</v>
      </c>
      <c r="F18" s="39"/>
      <c r="G18" s="39"/>
      <c r="H18" s="39"/>
      <c r="I18" s="39"/>
      <c r="J18" s="42"/>
      <c r="K18" s="29">
        <f>SUM(F18:J18)</f>
        <v>0</v>
      </c>
      <c r="L18" s="26">
        <f>SUM(L17+E18-K18)</f>
        <v>1915.35</v>
      </c>
    </row>
    <row r="19" spans="1:12" x14ac:dyDescent="0.25">
      <c r="A19" s="16">
        <v>8</v>
      </c>
      <c r="B19" s="39"/>
      <c r="C19" s="39"/>
      <c r="D19" s="39"/>
      <c r="E19" s="26">
        <f>SUM(B19:D19)</f>
        <v>0</v>
      </c>
      <c r="F19" s="39"/>
      <c r="G19" s="39"/>
      <c r="H19" s="39"/>
      <c r="I19" s="39"/>
      <c r="J19" s="42"/>
      <c r="K19" s="29">
        <f>SUM(F19:J19)</f>
        <v>0</v>
      </c>
      <c r="L19" s="26">
        <f>SUM(L18+E19-K19)</f>
        <v>1915.35</v>
      </c>
    </row>
    <row r="20" spans="1:12" x14ac:dyDescent="0.25">
      <c r="A20" s="16">
        <v>9</v>
      </c>
      <c r="B20" s="39"/>
      <c r="C20" s="39"/>
      <c r="D20" s="39"/>
      <c r="E20" s="26">
        <f>SUM(B20:D20)</f>
        <v>0</v>
      </c>
      <c r="F20" s="39"/>
      <c r="G20" s="39"/>
      <c r="H20" s="39"/>
      <c r="I20" s="39"/>
      <c r="J20" s="42"/>
      <c r="K20" s="29">
        <f>SUM(F20:J20)</f>
        <v>0</v>
      </c>
      <c r="L20" s="26">
        <f>SUM(L19+E20-K20)</f>
        <v>1915.35</v>
      </c>
    </row>
    <row r="21" spans="1:12" x14ac:dyDescent="0.25">
      <c r="A21" s="16">
        <v>10</v>
      </c>
      <c r="B21" s="39"/>
      <c r="C21" s="39"/>
      <c r="D21" s="39"/>
      <c r="E21" s="26">
        <f>SUM(B21:D21)</f>
        <v>0</v>
      </c>
      <c r="F21" s="39"/>
      <c r="G21" s="39"/>
      <c r="H21" s="39"/>
      <c r="I21" s="39"/>
      <c r="J21" s="42"/>
      <c r="K21" s="29">
        <f>SUM(F21:J21)</f>
        <v>0</v>
      </c>
      <c r="L21" s="26">
        <f>SUM(L20+E21-K21)</f>
        <v>1915.35</v>
      </c>
    </row>
    <row r="22" spans="1:12" x14ac:dyDescent="0.25">
      <c r="A22" s="16">
        <v>11</v>
      </c>
      <c r="B22" s="39"/>
      <c r="C22" s="39"/>
      <c r="D22" s="39"/>
      <c r="E22" s="26">
        <f>SUM(B22:D22)</f>
        <v>0</v>
      </c>
      <c r="F22" s="39"/>
      <c r="G22" s="39"/>
      <c r="H22" s="39"/>
      <c r="I22" s="39"/>
      <c r="J22" s="42"/>
      <c r="K22" s="29">
        <f>SUM(F22:J22)</f>
        <v>0</v>
      </c>
      <c r="L22" s="26">
        <f>SUM(L21+E22-K22)</f>
        <v>1915.35</v>
      </c>
    </row>
    <row r="23" spans="1:12" x14ac:dyDescent="0.25">
      <c r="A23" s="16">
        <v>12</v>
      </c>
      <c r="B23" s="39"/>
      <c r="C23" s="39"/>
      <c r="D23" s="39"/>
      <c r="E23" s="26">
        <f>SUM(B23:D23)</f>
        <v>0</v>
      </c>
      <c r="F23" s="39"/>
      <c r="G23" s="39"/>
      <c r="H23" s="39"/>
      <c r="I23" s="39"/>
      <c r="J23" s="42"/>
      <c r="K23" s="29">
        <f>SUM(F23:J23)</f>
        <v>0</v>
      </c>
      <c r="L23" s="26">
        <f>SUM(L22+E23-K23)</f>
        <v>1915.35</v>
      </c>
    </row>
    <row r="24" spans="1:12" x14ac:dyDescent="0.25">
      <c r="A24" s="16">
        <v>13</v>
      </c>
      <c r="B24" s="39"/>
      <c r="C24" s="39"/>
      <c r="D24" s="39"/>
      <c r="E24" s="26">
        <f>SUM(B24:D24)</f>
        <v>0</v>
      </c>
      <c r="F24" s="39"/>
      <c r="G24" s="39"/>
      <c r="H24" s="39"/>
      <c r="I24" s="39"/>
      <c r="J24" s="42"/>
      <c r="K24" s="29">
        <f>SUM(F24:J24)</f>
        <v>0</v>
      </c>
      <c r="L24" s="26">
        <f>SUM(L23+E24-K24)</f>
        <v>1915.35</v>
      </c>
    </row>
    <row r="25" spans="1:12" x14ac:dyDescent="0.25">
      <c r="A25" s="16">
        <v>14</v>
      </c>
      <c r="B25" s="39"/>
      <c r="C25" s="39"/>
      <c r="D25" s="39"/>
      <c r="E25" s="26">
        <f>SUM(B25:D25)</f>
        <v>0</v>
      </c>
      <c r="F25" s="39"/>
      <c r="G25" s="39"/>
      <c r="H25" s="39"/>
      <c r="I25" s="39"/>
      <c r="J25" s="42"/>
      <c r="K25" s="29">
        <f>SUM(F25:J25)</f>
        <v>0</v>
      </c>
      <c r="L25" s="26">
        <f>SUM(L24+E25-K25)</f>
        <v>1915.35</v>
      </c>
    </row>
    <row r="26" spans="1:12" x14ac:dyDescent="0.25">
      <c r="A26" s="16">
        <v>15</v>
      </c>
      <c r="B26" s="39"/>
      <c r="C26" s="39"/>
      <c r="D26" s="39"/>
      <c r="E26" s="26">
        <f>SUM(B26:D26)</f>
        <v>0</v>
      </c>
      <c r="F26" s="39"/>
      <c r="G26" s="39"/>
      <c r="H26" s="39"/>
      <c r="I26" s="39"/>
      <c r="J26" s="42"/>
      <c r="K26" s="29">
        <f>SUM(F26:J26)</f>
        <v>0</v>
      </c>
      <c r="L26" s="26">
        <f>SUM(L25+E26-K26)</f>
        <v>1915.35</v>
      </c>
    </row>
    <row r="27" spans="1:12" x14ac:dyDescent="0.25">
      <c r="A27" s="16">
        <v>16</v>
      </c>
      <c r="B27" s="39"/>
      <c r="C27" s="39"/>
      <c r="D27" s="39"/>
      <c r="E27" s="26">
        <f>SUM(B27:D27)</f>
        <v>0</v>
      </c>
      <c r="F27" s="39"/>
      <c r="G27" s="39"/>
      <c r="H27" s="39"/>
      <c r="I27" s="39"/>
      <c r="J27" s="42"/>
      <c r="K27" s="29">
        <f>SUM(F27:J27)</f>
        <v>0</v>
      </c>
      <c r="L27" s="26">
        <f>SUM(L26+E27-K27)</f>
        <v>1915.35</v>
      </c>
    </row>
    <row r="28" spans="1:12" x14ac:dyDescent="0.25">
      <c r="A28" s="16">
        <v>17</v>
      </c>
      <c r="B28" s="39"/>
      <c r="C28" s="39"/>
      <c r="D28" s="39"/>
      <c r="E28" s="26">
        <f>SUM(B28:D28)</f>
        <v>0</v>
      </c>
      <c r="F28" s="39"/>
      <c r="G28" s="39"/>
      <c r="H28" s="39"/>
      <c r="I28" s="39"/>
      <c r="J28" s="42"/>
      <c r="K28" s="29">
        <f>SUM(F28:J28)</f>
        <v>0</v>
      </c>
      <c r="L28" s="26">
        <f>SUM(L27+E28-K28)</f>
        <v>1915.35</v>
      </c>
    </row>
    <row r="29" spans="1:12" x14ac:dyDescent="0.25">
      <c r="A29" s="16">
        <v>18</v>
      </c>
      <c r="B29" s="39"/>
      <c r="C29" s="39"/>
      <c r="D29" s="39"/>
      <c r="E29" s="26">
        <f>SUM(B29:D29)</f>
        <v>0</v>
      </c>
      <c r="F29" s="39"/>
      <c r="G29" s="39"/>
      <c r="H29" s="39"/>
      <c r="I29" s="39"/>
      <c r="J29" s="42"/>
      <c r="K29" s="29">
        <f>SUM(F29:J29)</f>
        <v>0</v>
      </c>
      <c r="L29" s="26">
        <f>SUM(L28+E29-K29)</f>
        <v>1915.35</v>
      </c>
    </row>
    <row r="30" spans="1:12" x14ac:dyDescent="0.25">
      <c r="A30" s="16">
        <v>19</v>
      </c>
      <c r="B30" s="39"/>
      <c r="C30" s="39"/>
      <c r="D30" s="39"/>
      <c r="E30" s="26">
        <f>SUM(B30:D30)</f>
        <v>0</v>
      </c>
      <c r="F30" s="39"/>
      <c r="G30" s="39"/>
      <c r="H30" s="39"/>
      <c r="I30" s="39"/>
      <c r="J30" s="42"/>
      <c r="K30" s="29">
        <f>SUM(F30:J30)</f>
        <v>0</v>
      </c>
      <c r="L30" s="26">
        <f>SUM(L29+E30-K30)</f>
        <v>1915.35</v>
      </c>
    </row>
    <row r="31" spans="1:12" x14ac:dyDescent="0.25">
      <c r="A31" s="16">
        <v>20</v>
      </c>
      <c r="B31" s="39"/>
      <c r="C31" s="39"/>
      <c r="D31" s="39"/>
      <c r="E31" s="26">
        <f>SUM(B31:D31)</f>
        <v>0</v>
      </c>
      <c r="F31" s="39"/>
      <c r="G31" s="39"/>
      <c r="H31" s="39"/>
      <c r="I31" s="39"/>
      <c r="J31" s="42"/>
      <c r="K31" s="29">
        <f>SUM(F31:J31)</f>
        <v>0</v>
      </c>
      <c r="L31" s="26">
        <f>SUM(L30+E31-K31)</f>
        <v>1915.35</v>
      </c>
    </row>
    <row r="32" spans="1:12" x14ac:dyDescent="0.25">
      <c r="A32" s="16">
        <v>21</v>
      </c>
      <c r="B32" s="39"/>
      <c r="C32" s="39"/>
      <c r="D32" s="39"/>
      <c r="E32" s="26">
        <f>SUM(B32:D32)</f>
        <v>0</v>
      </c>
      <c r="F32" s="39"/>
      <c r="G32" s="39"/>
      <c r="H32" s="39"/>
      <c r="I32" s="39"/>
      <c r="J32" s="42"/>
      <c r="K32" s="29">
        <f>SUM(F32:J32)</f>
        <v>0</v>
      </c>
      <c r="L32" s="26">
        <f>SUM(L31+E32-K32)</f>
        <v>1915.35</v>
      </c>
    </row>
    <row r="33" spans="1:12" x14ac:dyDescent="0.25">
      <c r="A33" s="16">
        <v>22</v>
      </c>
      <c r="B33" s="39"/>
      <c r="C33" s="39"/>
      <c r="D33" s="39"/>
      <c r="E33" s="26">
        <f>SUM(B33:D33)</f>
        <v>0</v>
      </c>
      <c r="F33" s="39"/>
      <c r="G33" s="39"/>
      <c r="H33" s="39"/>
      <c r="I33" s="39"/>
      <c r="J33" s="42"/>
      <c r="K33" s="29">
        <f>SUM(F33:J33)</f>
        <v>0</v>
      </c>
      <c r="L33" s="26">
        <f>SUM(L32+E33-K33)</f>
        <v>1915.35</v>
      </c>
    </row>
    <row r="34" spans="1:12" x14ac:dyDescent="0.25">
      <c r="A34" s="16">
        <v>23</v>
      </c>
      <c r="B34" s="39"/>
      <c r="C34" s="39"/>
      <c r="D34" s="39"/>
      <c r="E34" s="26">
        <f>SUM(B34:D34)</f>
        <v>0</v>
      </c>
      <c r="F34" s="39"/>
      <c r="G34" s="39"/>
      <c r="H34" s="39"/>
      <c r="I34" s="39"/>
      <c r="J34" s="42"/>
      <c r="K34" s="29">
        <f>SUM(F34:J34)</f>
        <v>0</v>
      </c>
      <c r="L34" s="26">
        <f>SUM(L33+E34-K34)</f>
        <v>1915.35</v>
      </c>
    </row>
    <row r="35" spans="1:12" x14ac:dyDescent="0.25">
      <c r="A35" s="16">
        <v>24</v>
      </c>
      <c r="B35" s="39"/>
      <c r="C35" s="39"/>
      <c r="D35" s="39"/>
      <c r="E35" s="26">
        <f>SUM(B35:D35)</f>
        <v>0</v>
      </c>
      <c r="F35" s="39"/>
      <c r="G35" s="39"/>
      <c r="H35" s="39"/>
      <c r="I35" s="39"/>
      <c r="J35" s="42"/>
      <c r="K35" s="29">
        <f>SUM(F35:J35)</f>
        <v>0</v>
      </c>
      <c r="L35" s="26">
        <f>SUM(L34+E35-K35)</f>
        <v>1915.35</v>
      </c>
    </row>
    <row r="36" spans="1:12" x14ac:dyDescent="0.25">
      <c r="A36" s="16">
        <v>25</v>
      </c>
      <c r="B36" s="39"/>
      <c r="C36" s="39"/>
      <c r="D36" s="39"/>
      <c r="E36" s="26">
        <f>SUM(B36:D36)</f>
        <v>0</v>
      </c>
      <c r="F36" s="39"/>
      <c r="G36" s="39"/>
      <c r="H36" s="39"/>
      <c r="I36" s="39"/>
      <c r="J36" s="42"/>
      <c r="K36" s="29">
        <f>SUM(F36:J36)</f>
        <v>0</v>
      </c>
      <c r="L36" s="26">
        <f>SUM(L35+E36-K36)</f>
        <v>1915.35</v>
      </c>
    </row>
    <row r="37" spans="1:12" x14ac:dyDescent="0.25">
      <c r="A37" s="16">
        <v>26</v>
      </c>
      <c r="B37" s="39"/>
      <c r="C37" s="39"/>
      <c r="D37" s="39"/>
      <c r="E37" s="26">
        <f>SUM(B37:D37)</f>
        <v>0</v>
      </c>
      <c r="F37" s="39"/>
      <c r="G37" s="39"/>
      <c r="H37" s="39"/>
      <c r="I37" s="39"/>
      <c r="J37" s="42"/>
      <c r="K37" s="29">
        <f>SUM(F37:J37)</f>
        <v>0</v>
      </c>
      <c r="L37" s="26">
        <f>SUM(L36+E37-K37)</f>
        <v>1915.35</v>
      </c>
    </row>
    <row r="38" spans="1:12" x14ac:dyDescent="0.25">
      <c r="A38" s="16">
        <v>27</v>
      </c>
      <c r="B38" s="39"/>
      <c r="C38" s="39"/>
      <c r="D38" s="39"/>
      <c r="E38" s="26">
        <f>SUM(B38:D38)</f>
        <v>0</v>
      </c>
      <c r="F38" s="39"/>
      <c r="G38" s="39"/>
      <c r="H38" s="39"/>
      <c r="I38" s="39"/>
      <c r="J38" s="42"/>
      <c r="K38" s="29">
        <f>SUM(F38:J38)</f>
        <v>0</v>
      </c>
      <c r="L38" s="26">
        <f>SUM(L37+E38-K38)</f>
        <v>1915.35</v>
      </c>
    </row>
    <row r="39" spans="1:12" x14ac:dyDescent="0.25">
      <c r="A39" s="16">
        <v>28</v>
      </c>
      <c r="B39" s="39"/>
      <c r="C39" s="39"/>
      <c r="D39" s="39"/>
      <c r="E39" s="26">
        <f>SUM(B39:D39)</f>
        <v>0</v>
      </c>
      <c r="F39" s="39"/>
      <c r="G39" s="39"/>
      <c r="H39" s="39"/>
      <c r="I39" s="39"/>
      <c r="J39" s="42"/>
      <c r="K39" s="29">
        <f>SUM(F39:J39)</f>
        <v>0</v>
      </c>
      <c r="L39" s="26">
        <f>SUM(L38+E39-K39)</f>
        <v>1915.35</v>
      </c>
    </row>
    <row r="40" spans="1:12" x14ac:dyDescent="0.25">
      <c r="A40" s="16">
        <v>29</v>
      </c>
      <c r="B40" s="39"/>
      <c r="C40" s="39"/>
      <c r="D40" s="39"/>
      <c r="E40" s="26">
        <f>SUM(B40:D40)</f>
        <v>0</v>
      </c>
      <c r="F40" s="39"/>
      <c r="G40" s="39"/>
      <c r="H40" s="39"/>
      <c r="I40" s="39"/>
      <c r="J40" s="42"/>
      <c r="K40" s="29">
        <f>SUM(F40:J40)</f>
        <v>0</v>
      </c>
      <c r="L40" s="26">
        <f>SUM(L39+E40-K40)</f>
        <v>1915.35</v>
      </c>
    </row>
    <row r="41" spans="1:12" x14ac:dyDescent="0.25">
      <c r="A41" s="16">
        <v>30</v>
      </c>
      <c r="B41" s="39"/>
      <c r="C41" s="39"/>
      <c r="D41" s="39"/>
      <c r="E41" s="26">
        <f>SUM(B41:D41)</f>
        <v>0</v>
      </c>
      <c r="F41" s="39"/>
      <c r="G41" s="39"/>
      <c r="H41" s="39"/>
      <c r="I41" s="39"/>
      <c r="J41" s="42"/>
      <c r="K41" s="29">
        <f>SUM(F41:J41)</f>
        <v>0</v>
      </c>
      <c r="L41" s="26">
        <f>SUM(L40+E41-K41)</f>
        <v>1915.35</v>
      </c>
    </row>
    <row r="42" spans="1:12" x14ac:dyDescent="0.25">
      <c r="A42" s="17">
        <v>31</v>
      </c>
      <c r="B42" s="40"/>
      <c r="C42" s="40"/>
      <c r="D42" s="40"/>
      <c r="E42" s="30">
        <f>SUM(B42:D42)</f>
        <v>0</v>
      </c>
      <c r="F42" s="40"/>
      <c r="G42" s="40"/>
      <c r="H42" s="40"/>
      <c r="I42" s="40"/>
      <c r="J42" s="43"/>
      <c r="K42" s="31">
        <f>SUM(F42:J42)</f>
        <v>0</v>
      </c>
      <c r="L42" s="30">
        <f>SUM(L41+E42-K42)</f>
        <v>1915.35</v>
      </c>
    </row>
    <row r="43" spans="1:12" x14ac:dyDescent="0.25">
      <c r="A43" s="25" t="s">
        <v>10</v>
      </c>
      <c r="B43" s="32">
        <f>SUM(B12:B42)</f>
        <v>0</v>
      </c>
      <c r="C43" s="32">
        <f>SUM(C12:C42)</f>
        <v>0</v>
      </c>
      <c r="D43" s="32">
        <f>SUM(D12:D42)</f>
        <v>0</v>
      </c>
      <c r="E43" s="32">
        <f>SUM(E12:E42)</f>
        <v>0</v>
      </c>
      <c r="F43" s="32">
        <f>SUM(F12:F42)</f>
        <v>0</v>
      </c>
      <c r="G43" s="32">
        <f>SUM(G12:G42)</f>
        <v>0</v>
      </c>
      <c r="H43" s="32">
        <f>SUM(H12:H42)</f>
        <v>0</v>
      </c>
      <c r="I43" s="32">
        <f>SUM(I12:I42)</f>
        <v>0</v>
      </c>
      <c r="J43" s="32">
        <f>SUM(J12:J42)</f>
        <v>0</v>
      </c>
      <c r="K43" s="33">
        <f>SUM(K12:K42)</f>
        <v>0</v>
      </c>
      <c r="L43" s="34"/>
    </row>
  </sheetData>
  <sheetProtection sheet="1" objects="1" scenarios="1"/>
  <mergeCells count="12">
    <mergeCell ref="F6:K6"/>
    <mergeCell ref="B9:E9"/>
    <mergeCell ref="F9:K9"/>
    <mergeCell ref="B11:K11"/>
    <mergeCell ref="B1:H1"/>
    <mergeCell ref="B2:H2"/>
    <mergeCell ref="B3:H3"/>
    <mergeCell ref="B4:H4"/>
    <mergeCell ref="I1:O1"/>
    <mergeCell ref="I2:O2"/>
    <mergeCell ref="I3:O3"/>
    <mergeCell ref="I4:O4"/>
  </mergeCells>
  <dataValidations count="2">
    <dataValidation type="decimal" operator="greaterThanOrEqual" allowBlank="1" showInputMessage="1" showErrorMessage="1" errorTitle="Erreur de saisie !" error="le montant doit être un nombre positif !" sqref="B12:D42" xr:uid="{DA79BFB0-786E-475B-9652-0A4B08C08346}">
      <formula1>0</formula1>
    </dataValidation>
    <dataValidation type="decimal" operator="greaterThanOrEqual" allowBlank="1" showInputMessage="1" showErrorMessage="1" errorTitle="Erreur de saisie !" error="le montant doit être un nombre positif !" sqref="F12:J42" xr:uid="{6C81EAF5-8A2F-4FE9-963E-6F1B418F45D5}">
      <formula1>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B2C1B315E81C49A8B2BBAE64E3816D" ma:contentTypeVersion="13477" ma:contentTypeDescription="Crée un document." ma:contentTypeScope="" ma:versionID="4981baae0e9469802c777e1ef6af4325">
  <xsd:schema xmlns:xsd="http://www.w3.org/2001/XMLSchema" xmlns:xs="http://www.w3.org/2001/XMLSchema" xmlns:p="http://schemas.microsoft.com/office/2006/metadata/properties" xmlns:ns2="8b8d17b3-3a92-4b8f-8cdb-743f0726ec73" xmlns:ns3="36f03264-3eb0-4fca-bff4-aa0737fe7015" xmlns:ns4="http://schemas.microsoft.com/sharepoint/v4" targetNamespace="http://schemas.microsoft.com/office/2006/metadata/properties" ma:root="true" ma:fieldsID="65937a3dfb76cb4e159eebcddc280f2d" ns2:_="" ns3:_="" ns4:_="">
    <xsd:import namespace="8b8d17b3-3a92-4b8f-8cdb-743f0726ec73"/>
    <xsd:import namespace="36f03264-3eb0-4fca-bff4-aa0737fe701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Url" minOccurs="0"/>
                <xsd:element ref="ns2:_dlc_DocId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4:IconOverlay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d17b3-3a92-4b8f-8cdb-743f0726ec73" elementFormDefault="qualified">
    <xsd:import namespace="http://schemas.microsoft.com/office/2006/documentManagement/types"/>
    <xsd:import namespace="http://schemas.microsoft.com/office/infopath/2007/PartnerControls"/>
    <xsd:element name="_dlc_DocIdUrl" ma:index="2" nillable="true" ma:displayName="ID de document" ma:description="Lien permanent vers ce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8" nillable="true" ma:displayName="Valeur d’ID de document" ma:description="Valeur de l’ID de document affecté à cet élément." ma:hidden="true" ma:indexed="true" ma:internalName="_dlc_DocId" ma:readOnly="true">
      <xsd:simpleType>
        <xsd:restriction base="dms:Text"/>
      </xsd:simple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SharedWithUsers" ma:index="17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3a1275ae-f714-471a-9021-38627f8f8f79}" ma:internalName="TaxCatchAll" ma:showField="CatchAllData" ma:web="8b8d17b3-3a92-4b8f-8cdb-743f0726ec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03264-3eb0-4fca-bff4-aa0737fe7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0" nillable="true" ma:taxonomy="true" ma:internalName="lcf76f155ced4ddcb4097134ff3c332f" ma:taxonomyFieldName="MediaServiceImageTags" ma:displayName="Balises d’images" ma:readOnly="false" ma:fieldId="{5cf76f15-5ced-4ddc-b409-7134ff3c332f}" ma:taxonomyMulti="true" ma:sspId="1003b82f-1b06-4058-a607-b03e42d591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b8d17b3-3a92-4b8f-8cdb-743f0726ec73">J2RJ5E3F2UV3-1073491278-10101168</_dlc_DocId>
    <IconOverlay xmlns="http://schemas.microsoft.com/sharepoint/v4" xsi:nil="true"/>
    <_dlc_DocIdPersistId xmlns="8b8d17b3-3a92-4b8f-8cdb-743f0726ec73" xsi:nil="true"/>
    <_dlc_DocIdUrl xmlns="8b8d17b3-3a92-4b8f-8cdb-743f0726ec73">
      <Url>https://c90006919.sharepoint.com/sites/INFOLOG-FICHIER/_layouts/15/DocIdRedir.aspx?ID=J2RJ5E3F2UV3-1073491278-10101168</Url>
      <Description>J2RJ5E3F2UV3-1073491278-10101168</Description>
    </_dlc_DocIdUrl>
    <lcf76f155ced4ddcb4097134ff3c332f xmlns="36f03264-3eb0-4fca-bff4-aa0737fe7015">
      <Terms xmlns="http://schemas.microsoft.com/office/infopath/2007/PartnerControls"/>
    </lcf76f155ced4ddcb4097134ff3c332f>
    <TaxCatchAll xmlns="8b8d17b3-3a92-4b8f-8cdb-743f0726ec73" xsi:nil="true"/>
  </documentManagement>
</p:properties>
</file>

<file path=customXml/itemProps1.xml><?xml version="1.0" encoding="utf-8"?>
<ds:datastoreItem xmlns:ds="http://schemas.openxmlformats.org/officeDocument/2006/customXml" ds:itemID="{895F2B54-DAB7-47B9-9796-0FD3540891C3}"/>
</file>

<file path=customXml/itemProps2.xml><?xml version="1.0" encoding="utf-8"?>
<ds:datastoreItem xmlns:ds="http://schemas.openxmlformats.org/officeDocument/2006/customXml" ds:itemID="{CEAE1B67-EF7B-4AE3-BBAF-99B0B9BCE783}"/>
</file>

<file path=customXml/itemProps3.xml><?xml version="1.0" encoding="utf-8"?>
<ds:datastoreItem xmlns:ds="http://schemas.openxmlformats.org/officeDocument/2006/customXml" ds:itemID="{B7948875-939B-470E-96D8-83C8751CEB6D}"/>
</file>

<file path=customXml/itemProps4.xml><?xml version="1.0" encoding="utf-8"?>
<ds:datastoreItem xmlns:ds="http://schemas.openxmlformats.org/officeDocument/2006/customXml" ds:itemID="{C35A8C84-621F-466B-9301-75C3803EC7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2026</vt:lpstr>
      <vt:lpstr>Février 2026</vt:lpstr>
      <vt:lpstr>Mars 2026</vt:lpstr>
      <vt:lpstr>Avril 2026</vt:lpstr>
      <vt:lpstr>Mai 2026</vt:lpstr>
      <vt:lpstr>Juin 2026</vt:lpstr>
      <vt:lpstr>Juillet 2026</vt:lpstr>
      <vt:lpstr>Août 2026</vt:lpstr>
      <vt:lpstr>Septembre 2026</vt:lpstr>
      <vt:lpstr>Octobre 2026</vt:lpstr>
      <vt:lpstr>Novembre 2026</vt:lpstr>
      <vt:lpstr>Décembre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GAUDEL</dc:creator>
  <cp:lastModifiedBy>Lisa GAUDEL</cp:lastModifiedBy>
  <dcterms:created xsi:type="dcterms:W3CDTF">2026-02-18T09:06:27Z</dcterms:created>
  <dcterms:modified xsi:type="dcterms:W3CDTF">2026-02-18T09:14:37Z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0x010100F0B2C1B315E81C49A8B2BBAE64E3816D</vt:lpwstr>
  </property>
  <property fmtid="{D5CDD505-2E9C-101B-9397-08002B2CF9AE}" pid="3" name="_dlc_DocIdItemGuid">
    <vt:lpwstr>dc3d7d12-ba86-4cda-92ab-fe26841e28bc</vt:lpwstr>
  </property>
  <property fmtid="{D5CDD505-2E9C-101B-9397-08002B2CF9AE}" pid="4" name="MediaServiceImageTags">
    <vt:lpwstr/>
  </property>
</Properties>
</file>